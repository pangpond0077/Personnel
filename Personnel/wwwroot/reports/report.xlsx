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3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obCost" sheetId="1" r:id="rId1"/>
    <sheet name="JobGroup" sheetId="2" r:id="rId3"/>
    <sheet name="JobCostDetail" sheetId="3" r:id="rId4"/>
  </sheets>
  <calcPr fullCalcOnLoad="1"/>
</workbook>
</file>

<file path=xl/sharedStrings.xml><?xml version="1.0" encoding="utf-8"?>
<sst xmlns="http://schemas.openxmlformats.org/spreadsheetml/2006/main" count="1144" uniqueCount="1144">
  <si>
    <t>Job : INS64 ช่วงเวลา : 2019-07-01 - 2019-07-31</t>
  </si>
  <si>
    <t>Accounting Job Cost</t>
  </si>
  <si>
    <t/>
  </si>
  <si>
    <t>Income &amp; Cost</t>
  </si>
  <si>
    <t>Income</t>
  </si>
  <si>
    <t>-N0000 Work Done</t>
  </si>
  <si>
    <t>External Cost</t>
  </si>
  <si>
    <t>-O0000 Other Income</t>
  </si>
  <si>
    <t>Gross Profit / Gross Margin</t>
  </si>
  <si>
    <t xml:space="preserve">           Income</t>
  </si>
  <si>
    <t>Total Internal</t>
  </si>
  <si>
    <t>-A0000 หมวดเตรียมการ</t>
  </si>
  <si>
    <t>Net Profit / Net Margin</t>
  </si>
  <si>
    <t>-B0000 หมวมดค่าใช้จ่าย</t>
  </si>
  <si>
    <t>-C0000 หมวดค่าเช่า</t>
  </si>
  <si>
    <t>-D0000 หมวดค่าวัสดุ</t>
  </si>
  <si>
    <t>ประมาณการ</t>
  </si>
  <si>
    <t>-E0000 หมวดค่าแรงจ้างเหมา</t>
  </si>
  <si>
    <t>Contact Work</t>
  </si>
  <si>
    <t>-F0000 หมวดค่าจ้างเหมาช่วง</t>
  </si>
  <si>
    <t>-G0000 หมวดค่าใช้จ่ายอื่นๆ</t>
  </si>
  <si>
    <t>Extra Work</t>
  </si>
  <si>
    <t>-G0210 ภาษีหัก ณ ที่จ่าย</t>
  </si>
  <si>
    <t>-H0000 หมวดค่าใช่จ่ายส่วนกลาง</t>
  </si>
  <si>
    <t>Orther Income</t>
  </si>
  <si>
    <t>Total cost (external + Internal)(1)</t>
  </si>
  <si>
    <t>TOTAL INCOME</t>
  </si>
  <si>
    <t>Internal Cost</t>
  </si>
  <si>
    <t>Actual External Cost Todate</t>
  </si>
  <si>
    <t>-C0110 ค่าเช่าขนส่งภายใน</t>
  </si>
  <si>
    <t>-C0120 ค่าเช่าเครื่องจักรภายใน</t>
  </si>
  <si>
    <t>Update External cost อื่นๆ</t>
  </si>
  <si>
    <t>-C0130 ค่าเช่าเครื่องใช้ส.น.ง.ภายใน</t>
  </si>
  <si>
    <t>ประมาณการเพิ่มจนจบงาน (เฉพาะ External cost)</t>
  </si>
  <si>
    <t>-C0410 ค่าเช่านั่งร้านภายใน</t>
  </si>
  <si>
    <t>Total External Cost</t>
  </si>
  <si>
    <t>-C0510 ค่าเช่าไฟล์ภายใน</t>
  </si>
  <si>
    <t>-C910 ค่าเช่า H-Beam ภายใน</t>
  </si>
  <si>
    <t>Actual internal Cost Todate</t>
  </si>
  <si>
    <t>-C1010 ค่าเช่าแผ่นเหล็กภายใน</t>
  </si>
  <si>
    <t>ประมาณการ Internal</t>
  </si>
  <si>
    <t>-C1110 ค่าเช่าเหล็กรูปพรรณภายใน</t>
  </si>
  <si>
    <t>-D0450 ค่าเช่าแบบเหล็กภายใน</t>
  </si>
  <si>
    <t>-H0110 เงินเดือน</t>
  </si>
  <si>
    <t>-H0130 เบี้ยเลี้ยงพนักงาน</t>
  </si>
  <si>
    <t>-H0200 ค่าใช้จ่ายทางอ้อม</t>
  </si>
  <si>
    <t>-H0800 ค่าจ่ายภายใน</t>
  </si>
  <si>
    <t>Total Internal Cost (2)</t>
  </si>
  <si>
    <t>รายละเอียดต้นทุนบางรายการ</t>
  </si>
  <si>
    <t>-D2100 วัสดุเช่าส่วนกลาง (เฉพาะฝ่ายบัญชีเท่านั้น)</t>
  </si>
  <si>
    <t>-E0800 ค่าแรงรายวันงานก่อสร้าง)</t>
  </si>
  <si>
    <t>-E0910 ค่าแรงรายวันบริษัท[ปกติ])</t>
  </si>
  <si>
    <t>-E0920 ค่าแรงรายวันบริษัท[ล่วงหน้า]</t>
  </si>
  <si>
    <t>-E0930 พนักงานบริษัท[ล่วงหน้า]</t>
  </si>
  <si>
    <t>-E0940 ค่าแรงฝากเบิก</t>
  </si>
  <si>
    <t>-H0600 ต้นทุนโอน</t>
  </si>
  <si>
    <t>-F5999 ค่าใช้จ่ายต้นทุนล่วงหน้า</t>
  </si>
  <si>
    <t>-H0400 ล/นมัดจำ-เงินล่วงหน้า</t>
  </si>
  <si>
    <t>JobTask</t>
  </si>
  <si>
    <t>ThisPeriodQTY</t>
  </si>
  <si>
    <t>ThisPeriodAMT</t>
  </si>
  <si>
    <t>OpenningQTY</t>
  </si>
  <si>
    <t>OpenningAMT</t>
  </si>
  <si>
    <t>CumBalQTY</t>
  </si>
  <si>
    <t>CumBalAMT</t>
  </si>
  <si>
    <t>BudgetQty</t>
  </si>
  <si>
    <t>Qry%</t>
  </si>
  <si>
    <t>BudgetAMT</t>
  </si>
  <si>
    <t>AMT%</t>
  </si>
  <si>
    <t>N0000 Work Done</t>
  </si>
  <si>
    <t>-4.08%</t>
  </si>
  <si>
    <t>.00%</t>
  </si>
  <si>
    <t>O0000 Other Income</t>
  </si>
  <si>
    <t>-20.00%</t>
  </si>
  <si>
    <t>Total Income</t>
  </si>
  <si>
    <t>-5.56%</t>
  </si>
  <si>
    <t>0%</t>
  </si>
  <si>
    <t>A0000 หมวดเตรียมการ</t>
  </si>
  <si>
    <t>3,137.14%</t>
  </si>
  <si>
    <t>50.80%</t>
  </si>
  <si>
    <t>B0000 หมวดค่าใช้จ่าย</t>
  </si>
  <si>
    <t>1,757,362.00%</t>
  </si>
  <si>
    <t>112.11%</t>
  </si>
  <si>
    <t>C0000 หมวดค่าเช่า</t>
  </si>
  <si>
    <t>11,137.08%</t>
  </si>
  <si>
    <t>139.82%</t>
  </si>
  <si>
    <t>D0000 หมวดค่าวัสดุ</t>
  </si>
  <si>
    <t>819,487.24%</t>
  </si>
  <si>
    <t>103.45%</t>
  </si>
  <si>
    <t>E0000 หมวดค่าแรงจ้างเหมา</t>
  </si>
  <si>
    <t>12,293,425.39%</t>
  </si>
  <si>
    <t>117.18%</t>
  </si>
  <si>
    <t>F0000 หมวดค่าจ้างเหมาช่วง</t>
  </si>
  <si>
    <t>53,160,428.93%</t>
  </si>
  <si>
    <t>109.51%</t>
  </si>
  <si>
    <t>G0000 หมวดค่าใช้จ่ายอื่นๆ</t>
  </si>
  <si>
    <t>564.29%</t>
  </si>
  <si>
    <t>12.66%</t>
  </si>
  <si>
    <t>H0000 หมวดค่าใช้จ่ายส่วนกลาง</t>
  </si>
  <si>
    <t>269.23%</t>
  </si>
  <si>
    <t>Total Cost</t>
  </si>
  <si>
    <t>15672037.26%</t>
  </si>
  <si>
    <t>119.52%</t>
  </si>
  <si>
    <t>PROFIT (LOSS)</t>
  </si>
  <si>
    <t>13951935.00%</t>
  </si>
  <si>
    <t>-9.01%</t>
  </si>
  <si>
    <t>A0100 สนง.สนาม</t>
  </si>
  <si>
    <t>275.00%</t>
  </si>
  <si>
    <t>3.70%</t>
  </si>
  <si>
    <t>A0110 สนง.สนาม - ค่าแรง</t>
  </si>
  <si>
    <t>100.00%</t>
  </si>
  <si>
    <t>A0120 สนง.สนาม - ค่าขนส่ง</t>
  </si>
  <si>
    <t>A0130 สนง.สนาม - วัสดุใหม่ (รวมซื้อ/เช่า ตู้Container, ห</t>
  </si>
  <si>
    <t>1,000.00%</t>
  </si>
  <si>
    <t>7.19%</t>
  </si>
  <si>
    <t>A0140 สนง.สนาม - วัสดุเก่า</t>
  </si>
  <si>
    <t>A01999 รวมต้นทุน</t>
  </si>
  <si>
    <t>A0200 แคมป์คนงาน</t>
  </si>
  <si>
    <t>850.00%</t>
  </si>
  <si>
    <t>.37%</t>
  </si>
  <si>
    <t>A0210 แคมป์คนงาน - ค่าแรง</t>
  </si>
  <si>
    <t>A0220 แคมป์คนงาน - ค่าขนส่ง</t>
  </si>
  <si>
    <t>A0230 แคมป์คนงาน - วัสดุใหม่</t>
  </si>
  <si>
    <t>3,400.00%</t>
  </si>
  <si>
    <t>A0240 แคมป์คนงาน - วัสดุเก่า</t>
  </si>
  <si>
    <t>A02999 รวมต้นทุน</t>
  </si>
  <si>
    <t>A0300 ระบบไฟฟ้า-ประปา-โทรศัพท์</t>
  </si>
  <si>
    <t>15,518.75%</t>
  </si>
  <si>
    <t>37.33%</t>
  </si>
  <si>
    <t>A0310 ค่าขอมิเตอร์ไฟ - หน่วยงาน</t>
  </si>
  <si>
    <t>69.80%</t>
  </si>
  <si>
    <t>A0320 ค่าขอมิเตอร์ไฟ - แคมป์คนงาน</t>
  </si>
  <si>
    <t>A0330 ระบบไฟฟ้าชั่วคราว</t>
  </si>
  <si>
    <t>18,650.00%</t>
  </si>
  <si>
    <t>106.28%</t>
  </si>
  <si>
    <t>A0331 สายไฟฟ้าใหม่ (TW/THW &gt;10 sq.mm , VCT &gt; 6 sq.mm. ,</t>
  </si>
  <si>
    <t>A0340 ค่ามิเตอร์น้ำ - หน่วยงาน</t>
  </si>
  <si>
    <t>71.96%</t>
  </si>
  <si>
    <t>A0350 ค่ามิเตอร์น้ำ - แคมป์คนงาน</t>
  </si>
  <si>
    <t>A0360 ระบบประปาชั่วคราว</t>
  </si>
  <si>
    <t>105,300.00%</t>
  </si>
  <si>
    <t>53.49%</t>
  </si>
  <si>
    <t>A0370 ค่าขอโทรศัพท์</t>
  </si>
  <si>
    <t>A03999 รวมต้นทุน</t>
  </si>
  <si>
    <t>A0400 รื้อถอน ปรับปรุงพื้นที่</t>
  </si>
  <si>
    <t>24,100.00%</t>
  </si>
  <si>
    <t>70.10%</t>
  </si>
  <si>
    <t>A0410 รื้อถอน อาคาร</t>
  </si>
  <si>
    <t>95.45%</t>
  </si>
  <si>
    <t>A0420 รั้วชั่วคราว ,ประตูทางเข้า</t>
  </si>
  <si>
    <t>48,100.00%</t>
  </si>
  <si>
    <t>68.46%</t>
  </si>
  <si>
    <t>A04999 รวมต้นทุน</t>
  </si>
  <si>
    <t>A0500 ทางเข้า ถนนชั่วคราว</t>
  </si>
  <si>
    <t>A0510 ถนนชั่วคราว</t>
  </si>
  <si>
    <t>A0520 ที่ล้างล้อ</t>
  </si>
  <si>
    <t>A05999 รวมต้นทุน</t>
  </si>
  <si>
    <t>A0600 เครื่องใช้สำนักงาน</t>
  </si>
  <si>
    <t>700.00%</t>
  </si>
  <si>
    <t>A0610 เครื่องใช้สำนักงาน (ที่ไม่เป็นทรัพย์สิน เช่น เครื่</t>
  </si>
  <si>
    <t>1,300.00%</t>
  </si>
  <si>
    <t>A0620 เครื่องใช้สำนักงานที่ต้องคืน(เฉพาะแผนก คลังพัสดุ)</t>
  </si>
  <si>
    <t>A0630 เครื่องมือก่อสร้างที่ต้องคืน (เฉพาะแผนก คลังพัสดุ)</t>
  </si>
  <si>
    <t>A0640 ซ่อมแซมเครื่องใช้สำนักงาน</t>
  </si>
  <si>
    <t>400.00%</t>
  </si>
  <si>
    <t>A06999 รวมต้นทุน</t>
  </si>
  <si>
    <t>A0700 ติดตั้งทาวเวอร์เครน</t>
  </si>
  <si>
    <t>741.67%</t>
  </si>
  <si>
    <t>29.37%</t>
  </si>
  <si>
    <t>A0710 ค่าแรง</t>
  </si>
  <si>
    <t>A0720 เสาเข็ม</t>
  </si>
  <si>
    <t>62.13%</t>
  </si>
  <si>
    <t>A0730 คอนกรีต</t>
  </si>
  <si>
    <t>4,150.00%</t>
  </si>
  <si>
    <t>90.50%</t>
  </si>
  <si>
    <t>A0740 ไม้แบบ</t>
  </si>
  <si>
    <t>31.15%</t>
  </si>
  <si>
    <t>A0750 เหล็กเส้น / Dowel , Bolt, Nut</t>
  </si>
  <si>
    <t>8.70%</t>
  </si>
  <si>
    <t>A0760 ค่าเช่ารถเครนเพื่อใช้ติดตั้ง/รื้อถอนTower Crane</t>
  </si>
  <si>
    <t>A07999 รวมต้นทุน</t>
  </si>
  <si>
    <t xml:space="preserve">A0800 แผงกันฝุ่น,กันตก  (เฉพาะ PROTECTION รอบอาคาร, ภายน</t>
  </si>
  <si>
    <t>-18,575.00%</t>
  </si>
  <si>
    <t>97.32%</t>
  </si>
  <si>
    <t>A0810 แผงกันฝุ่น/ผ้าใบกันฝุ่นรอบอาคาร</t>
  </si>
  <si>
    <t>-74,400.00%</t>
  </si>
  <si>
    <t>155.66%</t>
  </si>
  <si>
    <t>A0820 แผงกันตก</t>
  </si>
  <si>
    <t>A0830 ค่าแรง</t>
  </si>
  <si>
    <t>24.37%</t>
  </si>
  <si>
    <t>A0840 ค่าโครงเหล็ก</t>
  </si>
  <si>
    <t>A08999 รวมต้นทุน</t>
  </si>
  <si>
    <t xml:space="preserve">A9900 CODE  A  MISCELLANEOUS</t>
  </si>
  <si>
    <t>A99999 รวมต้นทุนหมวด เตรียมการ</t>
  </si>
  <si>
    <t>B0100 ค่ายาม</t>
  </si>
  <si>
    <t>26,988,464.00%</t>
  </si>
  <si>
    <t>101.99%</t>
  </si>
  <si>
    <t>B0200 ค่ากระแสไฟฟ้า</t>
  </si>
  <si>
    <t>1,650.00%</t>
  </si>
  <si>
    <t>102.55%</t>
  </si>
  <si>
    <t>B0210 ค่ากระแสไฟฟ้า - หน่วยงาน</t>
  </si>
  <si>
    <t>2,100.00%</t>
  </si>
  <si>
    <t>81.42%</t>
  </si>
  <si>
    <t>B0220 ค่ากระแสไฟฟ้า - แคมป์คนงาน</t>
  </si>
  <si>
    <t>1,200.00%</t>
  </si>
  <si>
    <t>163.14%</t>
  </si>
  <si>
    <t>B02999 รวมต้นทุน</t>
  </si>
  <si>
    <t>B0300 ค่าน้ำประปา</t>
  </si>
  <si>
    <t>2,250.00%</t>
  </si>
  <si>
    <t>114.28%</t>
  </si>
  <si>
    <t>B0310 ค่าน้ำประปา - หน่วยงาน</t>
  </si>
  <si>
    <t>2,400.00%</t>
  </si>
  <si>
    <t>184.10%</t>
  </si>
  <si>
    <t>B0320 ค่าน้ำประปา - แคมป์คนงาน</t>
  </si>
  <si>
    <t>76.12%</t>
  </si>
  <si>
    <t>B03999 รวมต้นทุน</t>
  </si>
  <si>
    <t>B0400 ค่าเชื้อเพลิง</t>
  </si>
  <si>
    <t>10,400.00%</t>
  </si>
  <si>
    <t>91.45%</t>
  </si>
  <si>
    <t>B0410 ค่าน้ำมันรถยนต์</t>
  </si>
  <si>
    <t>900.00%</t>
  </si>
  <si>
    <t>29.78%</t>
  </si>
  <si>
    <t xml:space="preserve">B0420 ค่าน้ำมันเครื่องจักร (รถเครน,รถขุด,  .......ฯ)</t>
  </si>
  <si>
    <t>272.11%</t>
  </si>
  <si>
    <t>B0430 ลม-แก๊ส-ลวดเชื่อม &amp;อุปกรณ์</t>
  </si>
  <si>
    <t>27,900.00%</t>
  </si>
  <si>
    <t>72.27%</t>
  </si>
  <si>
    <t>B04999 รวมต้นทุน</t>
  </si>
  <si>
    <t>B0500 เครื่องมือขนาดเล็ก - ซ่อมแซม</t>
  </si>
  <si>
    <t>39,200.00%</t>
  </si>
  <si>
    <t>168.47%</t>
  </si>
  <si>
    <t>B0510 เครื่องมือขนาดเล็ก(มูลค่า &lt; 2000 บาท เช่น ไขควง, ส</t>
  </si>
  <si>
    <t>114,200.00%</t>
  </si>
  <si>
    <t>148.85%</t>
  </si>
  <si>
    <t>B0520 ค่าซ่อมแซมเครื่องมือขนาดเล็ก</t>
  </si>
  <si>
    <t>28.30%</t>
  </si>
  <si>
    <t>B0530 ค่าซ่อมแซม รถยนต์ เครื่องมือก่อสร้าง</t>
  </si>
  <si>
    <t>B05999 รวมต้นทุน</t>
  </si>
  <si>
    <t>B0600 เครื่องเขียน(ปากกา, กระดาษ,รวมค่าเช่าเครื่องถ่ายเอ</t>
  </si>
  <si>
    <t>7,569,900.00%</t>
  </si>
  <si>
    <t>210.56%</t>
  </si>
  <si>
    <t>B0700 ค่ารับรอง</t>
  </si>
  <si>
    <t>10,500.00%</t>
  </si>
  <si>
    <t>382.18%</t>
  </si>
  <si>
    <t>B0800 ค่าพาหนะ</t>
  </si>
  <si>
    <t>167,600.00%</t>
  </si>
  <si>
    <t>52.74%</t>
  </si>
  <si>
    <t>B0900 ค่าโทรศัพท์</t>
  </si>
  <si>
    <t>3,200.00%</t>
  </si>
  <si>
    <t>23.68%</t>
  </si>
  <si>
    <t>B1000 ค่าทดสอบวัสดุ (จ่ายเป็นรายเดือน/ประจำ เช่นทดสอบเหล</t>
  </si>
  <si>
    <t>36.07%</t>
  </si>
  <si>
    <t>B1100 ค่าที่ปรึกษา - O.T.Consultค่าเซ็นควบคุมงานของวิศวก</t>
  </si>
  <si>
    <t>800.00%</t>
  </si>
  <si>
    <t>132.05%</t>
  </si>
  <si>
    <t>B1200 ค่าเช่าบ้าน-ที่ดิน-เบี้ยเลี้ยง ตจว,พนง.</t>
  </si>
  <si>
    <t>16,700.00%</t>
  </si>
  <si>
    <t>123.47%</t>
  </si>
  <si>
    <t>B1300 ค่าใช้จ่ายพิเศษ หน่วยงานราชการ,</t>
  </si>
  <si>
    <t>600.00%</t>
  </si>
  <si>
    <t>54.28%</t>
  </si>
  <si>
    <t>B1400 ถุงปุ๋ยใส่ขยะ</t>
  </si>
  <si>
    <t>2,451,500.00%</t>
  </si>
  <si>
    <t>46.14%</t>
  </si>
  <si>
    <t xml:space="preserve">B1500 อุปกรณ์ความปลอดภัย, ป้ายความปลอดภัย  ( หมวก, เข็มข</t>
  </si>
  <si>
    <t>72,800.00%</t>
  </si>
  <si>
    <t xml:space="preserve">B9900 CODE B  MISCELLANEOUS</t>
  </si>
  <si>
    <t>1,223,200.00%</t>
  </si>
  <si>
    <t>429.23%</t>
  </si>
  <si>
    <t>B99999 รวมต้นทุนหมวดค่าใช้จ่าย</t>
  </si>
  <si>
    <t>C0100 ค่าเช่าภายใน</t>
  </si>
  <si>
    <t>19,733.33%</t>
  </si>
  <si>
    <t>121.25%</t>
  </si>
  <si>
    <t>C0110 ค่าเช่าขนส่งภายใน</t>
  </si>
  <si>
    <t>10,100.00%</t>
  </si>
  <si>
    <t>101.54%</t>
  </si>
  <si>
    <t>C0120 ค่าเช่าเครื่องจักรภายใน</t>
  </si>
  <si>
    <t>53,100.00%</t>
  </si>
  <si>
    <t>129.08%</t>
  </si>
  <si>
    <t>C0130 ค่าเช่าเครื่องใช้ส.น.งภายใน</t>
  </si>
  <si>
    <t>-4,000.00%</t>
  </si>
  <si>
    <t>98.36%</t>
  </si>
  <si>
    <t>C01999 รวมต้นทุน</t>
  </si>
  <si>
    <t>C0200 ค่าเช่าภายนอก</t>
  </si>
  <si>
    <t>44,350.00%</t>
  </si>
  <si>
    <t>49.28%</t>
  </si>
  <si>
    <t>C0210 ค่าเช่าขนส่งภายนอก</t>
  </si>
  <si>
    <t>15.83%</t>
  </si>
  <si>
    <t>C0220 ค่าเช่าเครื่องจักรภายนอก</t>
  </si>
  <si>
    <t>86,600.00%</t>
  </si>
  <si>
    <t>82.18%</t>
  </si>
  <si>
    <t>C02999 รวมต้นทุน</t>
  </si>
  <si>
    <t>C0300 ซื้อเครื่องจักรขนาดใหญ่</t>
  </si>
  <si>
    <t>C0400 ค่าเช่านั่งร้าน</t>
  </si>
  <si>
    <t>718,600.00%</t>
  </si>
  <si>
    <t>658.20%</t>
  </si>
  <si>
    <t>C0410 ค่าเช่านั่งร้านภายใน</t>
  </si>
  <si>
    <t>1,437,200.00%</t>
  </si>
  <si>
    <t>C0420 ค่าเช่านั่งร้านภายนอก</t>
  </si>
  <si>
    <t>C04999 รวมต้นทุน</t>
  </si>
  <si>
    <t>C0500 ค่าเช่าชีทไพล์</t>
  </si>
  <si>
    <t>C0510 ค่าเช่าชีทไพล์ภายใน</t>
  </si>
  <si>
    <t>C0520 ค่าเช่าชีทไพล์ภายนอก</t>
  </si>
  <si>
    <t>C05999 รวมต้นทุน</t>
  </si>
  <si>
    <t>C0600 รถขนขยะ</t>
  </si>
  <si>
    <t>81,100.00%</t>
  </si>
  <si>
    <t>60.57%</t>
  </si>
  <si>
    <t>C0700 เครื่องมือ-แบบเหล็กชำรุด (เฉพาะแผนก คลังพัสดุ)</t>
  </si>
  <si>
    <t>33.33%</t>
  </si>
  <si>
    <t>C0710 ซ่อมอุปกรณื-นั่งร้านของคลังพัสดุ</t>
  </si>
  <si>
    <t>C0720 ซ่อมเครื่องใช้สำนักงาน เช่น โต๊ะ ตู้ เก้าอี้)</t>
  </si>
  <si>
    <t>C0730 ค่าซ่อมเครื่องจักรขนาดใหญ่</t>
  </si>
  <si>
    <t>C07999 รวมต้นทุน</t>
  </si>
  <si>
    <t>C0800 ซื้อใหม่ นั่งร้าน-ไม้แบบ-แบบเหล็ก(เฉพาะแผนก คลังพั</t>
  </si>
  <si>
    <t>-478,200.00%</t>
  </si>
  <si>
    <t>C0900 ค่าเช่า H-Beam</t>
  </si>
  <si>
    <t>188,930.00%</t>
  </si>
  <si>
    <t>C0910 ค่าเช่า H-Beam ภายใน</t>
  </si>
  <si>
    <t>377,860.00%</t>
  </si>
  <si>
    <t>C0920 ค่าเช่า H-Beam ภายนอก</t>
  </si>
  <si>
    <t>C09999 รวมต้นทุน</t>
  </si>
  <si>
    <t>C1000 ค่าเช่าแผ่นเหล็ก</t>
  </si>
  <si>
    <t>-467,700.00%</t>
  </si>
  <si>
    <t>C1010 ค่าเช่าแผ่นเหล็กภายใน</t>
  </si>
  <si>
    <t>-935,400.00%</t>
  </si>
  <si>
    <t>C1020 ค่าเช่าแผ่นเหล็กภายนอก</t>
  </si>
  <si>
    <t>C10999 รวมต้นทุน</t>
  </si>
  <si>
    <t>C1100 ค่าเช่าเหล็กรูปพรรณ</t>
  </si>
  <si>
    <t>-70,835.00%</t>
  </si>
  <si>
    <t>C1110 ค่าเช่าเหล็กรูปพรรณภายใน</t>
  </si>
  <si>
    <t>-141,670.00%</t>
  </si>
  <si>
    <t>C1120 ค่าเช่าเหล็กรูปพรรณภายนอก</t>
  </si>
  <si>
    <t>C11999 รวมต้นทุน</t>
  </si>
  <si>
    <t>C1200 โอนค่าใช้จ่าย ภายใน/ภายนอก (เฉพาะ แผนกบัญชี)</t>
  </si>
  <si>
    <t>C1210 โอนออกจากค่าเช่า/ค่าขนส่ง "ภายใน"</t>
  </si>
  <si>
    <t>C1221 รับโอนเข้า ค่าเช่า/ค่าขนส่ง "ภายนอก"</t>
  </si>
  <si>
    <t>C12999 รวมต้นทุน</t>
  </si>
  <si>
    <t xml:space="preserve">C9900 CODE C  MISCELLANEOUS</t>
  </si>
  <si>
    <t>-221,600.00%</t>
  </si>
  <si>
    <t>C99999 รวมต้นทุนหมวดค่าเช่า</t>
  </si>
  <si>
    <t xml:space="preserve">D0100 คอนกรีต  (Cyl. strength)</t>
  </si>
  <si>
    <t>160,557.14%</t>
  </si>
  <si>
    <t>96.67%</t>
  </si>
  <si>
    <t>D0110 คอนกรีต180 ksc / คอนกรีตหยาบ</t>
  </si>
  <si>
    <t>42,300.00%</t>
  </si>
  <si>
    <t>131.90%</t>
  </si>
  <si>
    <t>D0120 คอนกรีต 210 ksc Cyl. (Cube=240 ksc)</t>
  </si>
  <si>
    <t>43,800.00%</t>
  </si>
  <si>
    <t>8.09%</t>
  </si>
  <si>
    <t>D0130 คอนกรีต 240 ksc Cyl. (Cube=280 ksc)</t>
  </si>
  <si>
    <t>521,925.00%</t>
  </si>
  <si>
    <t>978.94%</t>
  </si>
  <si>
    <t>D0140 คอนกรีต 280 ksc Cyl. (Cube=320 ksc)</t>
  </si>
  <si>
    <t>325,400.00%</t>
  </si>
  <si>
    <t>79.71%</t>
  </si>
  <si>
    <t>D0150 คอนกรีต 320 ksc Cyl. (Cube=380 ksc)</t>
  </si>
  <si>
    <t>507,575.00%</t>
  </si>
  <si>
    <t>103.35%</t>
  </si>
  <si>
    <t>D0160 คอนกรีต 380 ksc Cyl.</t>
  </si>
  <si>
    <t>D0170 คอนกรีต 400 ksc Cyl.</t>
  </si>
  <si>
    <t>D0171 คอนกรีต 450 ksc Cyl.</t>
  </si>
  <si>
    <t>D0172 คอนกรีต 550 - 600 ksc Cyl.</t>
  </si>
  <si>
    <t>D0190 คอนกรีต 180 ksc/ ปูนทราย Pumpcrete</t>
  </si>
  <si>
    <t>60,000.00%</t>
  </si>
  <si>
    <t>D0191 กรวยเทคอนกรีต</t>
  </si>
  <si>
    <t>D0192 น้ำยาบ่มคอนกรีต / พลาสติกหุ้มเสา</t>
  </si>
  <si>
    <t>8,400.00%</t>
  </si>
  <si>
    <t>18.22%</t>
  </si>
  <si>
    <t>D0193 ปูนทราย/คอนกรีต [ขัดมัน / ปรับระดับ ]</t>
  </si>
  <si>
    <t>D0194 คอนกรีตถุงสำเร็จรูป</t>
  </si>
  <si>
    <t>738,400.00%</t>
  </si>
  <si>
    <t>101.62%</t>
  </si>
  <si>
    <t>D01999 รวมต้นทุน</t>
  </si>
  <si>
    <t>D0200 เหล็ก เส้น</t>
  </si>
  <si>
    <t>6,265,262.61%</t>
  </si>
  <si>
    <t>103.56%</t>
  </si>
  <si>
    <t xml:space="preserve">D0210 เหล็ก  6 มม กลม.</t>
  </si>
  <si>
    <t>347,064.00%</t>
  </si>
  <si>
    <t>44.50%</t>
  </si>
  <si>
    <t xml:space="preserve">D0220 เหล็ก  9 มม. กลม</t>
  </si>
  <si>
    <t>7,165,309.00%</t>
  </si>
  <si>
    <t>238.95%</t>
  </si>
  <si>
    <t xml:space="preserve">D0221 เหล็ก  12 มม.กลม</t>
  </si>
  <si>
    <t xml:space="preserve">D0222 เหล็ก  15 มม.กลม</t>
  </si>
  <si>
    <t xml:space="preserve">D0223 เหล็ก  19 มม.กลม</t>
  </si>
  <si>
    <t xml:space="preserve">D0224 เหล็ก  25มม.กลม</t>
  </si>
  <si>
    <t xml:space="preserve">D0230 เหล็ก  10 มม.</t>
  </si>
  <si>
    <t>2,673,440.00%</t>
  </si>
  <si>
    <t>117.75%</t>
  </si>
  <si>
    <t xml:space="preserve">D0240 เหล็ก  12 มม.</t>
  </si>
  <si>
    <t>43,683,466.00%</t>
  </si>
  <si>
    <t>68.90%</t>
  </si>
  <si>
    <t xml:space="preserve">D0250 เหล็ก  16 มม.</t>
  </si>
  <si>
    <t>12,756,538.00%</t>
  </si>
  <si>
    <t>330.31%</t>
  </si>
  <si>
    <t xml:space="preserve">D0260 เหล็ก  20 มม.</t>
  </si>
  <si>
    <t>12,348,063.00%</t>
  </si>
  <si>
    <t>316.11%</t>
  </si>
  <si>
    <t xml:space="preserve">D0270 เหล็ก  25 มม.</t>
  </si>
  <si>
    <t>23,967,017.00%</t>
  </si>
  <si>
    <t>105.53%</t>
  </si>
  <si>
    <t xml:space="preserve">D0280 เหล็ก  28 มม.</t>
  </si>
  <si>
    <t>5,365,740.00%</t>
  </si>
  <si>
    <t>131.27%</t>
  </si>
  <si>
    <t xml:space="preserve">D0281 เหล็ก  32 มม.</t>
  </si>
  <si>
    <t xml:space="preserve">D0282 เหล็ก  41 มม.</t>
  </si>
  <si>
    <t>D0290 เหล็กตะแกรง wiremesh</t>
  </si>
  <si>
    <t>-384,010.00%</t>
  </si>
  <si>
    <t>-334.48%</t>
  </si>
  <si>
    <t xml:space="preserve">D0293 การเชื่อมต่อเหล็ก / Coupler  / แผ่นเหล็กเสริมในชิ้</t>
  </si>
  <si>
    <t>D0294 ลูกปูนหนุนเหล็ก</t>
  </si>
  <si>
    <t>4,850,000.00%</t>
  </si>
  <si>
    <t>89.04%</t>
  </si>
  <si>
    <t xml:space="preserve">D0299 เหล็กเส้นอื่นๆ  (ไม่รวมเหล็กรูปพรรณ)</t>
  </si>
  <si>
    <t>2,000.00%</t>
  </si>
  <si>
    <t>D02999 รวมต้นทุน</t>
  </si>
  <si>
    <t>D0300 ลวดผูกเหล็ก</t>
  </si>
  <si>
    <t>24,800.00%</t>
  </si>
  <si>
    <t>D0400 ไม้แบบ</t>
  </si>
  <si>
    <t>152,237.27%</t>
  </si>
  <si>
    <t>86.64%</t>
  </si>
  <si>
    <t>D0410 ไม้แบบ ไม้กระดาน</t>
  </si>
  <si>
    <t>173,900.00%</t>
  </si>
  <si>
    <t>17.20%</t>
  </si>
  <si>
    <t>D0420 ไม้แบบ ไม้กระดาน เก่า</t>
  </si>
  <si>
    <t>D0430 ไม้อัด</t>
  </si>
  <si>
    <t>219,800.00%</t>
  </si>
  <si>
    <t>94.73%</t>
  </si>
  <si>
    <t>D0440 ไม้อัด เก่า</t>
  </si>
  <si>
    <t>D0450 ค่าเช่าแบบภายใน</t>
  </si>
  <si>
    <t>246,110.00%</t>
  </si>
  <si>
    <t>79.68%</t>
  </si>
  <si>
    <t>D0451 เหล็กรูปพรรณใหม่เพื่อประกอบไม้แบบ</t>
  </si>
  <si>
    <t>56,500.00%</t>
  </si>
  <si>
    <t>D0460 ค่าเช่าไม้แบบภายนอก (Table Form , ….)ค่าจ้างทำแบบภ</t>
  </si>
  <si>
    <t>D0470 ตะปู</t>
  </si>
  <si>
    <t>4,500.00%</t>
  </si>
  <si>
    <t>D0480 ก่ออิฐแทนแบบ</t>
  </si>
  <si>
    <t>D0490 น้ำยาทาแบบ</t>
  </si>
  <si>
    <t>D0499 วัสดุอื่นๆที่ใช้กับงานไม้แบบ</t>
  </si>
  <si>
    <t>973,600.00%</t>
  </si>
  <si>
    <t>D04999 รวมต้นทุน</t>
  </si>
  <si>
    <t>D0500 น้ำยาผสมคอนกรีต</t>
  </si>
  <si>
    <t>1,700.00%</t>
  </si>
  <si>
    <t>D0600 ทรายถม</t>
  </si>
  <si>
    <t>102,604.00%</t>
  </si>
  <si>
    <t>D0700 Water Stop</t>
  </si>
  <si>
    <t>D0710 Water Stop ชนิด PVC</t>
  </si>
  <si>
    <t xml:space="preserve">D0720 Water Stop  ชนิดบวมน้ำ</t>
  </si>
  <si>
    <t xml:space="preserve">D0730 Water Stop  ชนิดแผ่นโลหะ</t>
  </si>
  <si>
    <t xml:space="preserve">D0740 Water Stop  ระบบCrytalize</t>
  </si>
  <si>
    <t>D07999 รวมต้นทุน</t>
  </si>
  <si>
    <t>D0800 ดินถม</t>
  </si>
  <si>
    <t>300.00%</t>
  </si>
  <si>
    <t>D0900 แผ่นกันซึม -กันชื้น</t>
  </si>
  <si>
    <t>8,240.00%</t>
  </si>
  <si>
    <t>230,823.07%</t>
  </si>
  <si>
    <t>D0910 WATER PROOF MENBRANCE</t>
  </si>
  <si>
    <t>200.00%</t>
  </si>
  <si>
    <t>D0920 แผ่นพลาสติกกันชื้น</t>
  </si>
  <si>
    <t>D0930 น้ำยาทากันซึม</t>
  </si>
  <si>
    <t>4,100.00%</t>
  </si>
  <si>
    <t>D0940 GEOTEXTILE</t>
  </si>
  <si>
    <t>D0950 Sealant (Silicone/ PU )</t>
  </si>
  <si>
    <t>36,000.00%</t>
  </si>
  <si>
    <t>D09999 รวมต้นทุน</t>
  </si>
  <si>
    <t>D1000 หินคลุก-ลูกรัง</t>
  </si>
  <si>
    <t>D1010 หินคลุก</t>
  </si>
  <si>
    <t>D1020 ลูกรัง</t>
  </si>
  <si>
    <t>D10999 รวมต้นทุน</t>
  </si>
  <si>
    <t>D1100 ผนังอิฐก่อ</t>
  </si>
  <si>
    <t>1,827,569.23%</t>
  </si>
  <si>
    <t>73.75%</t>
  </si>
  <si>
    <t>D1110 อิฐบล็อก 3"</t>
  </si>
  <si>
    <t>D1120 อิฐบล็อก 4"</t>
  </si>
  <si>
    <t>D1130 อิฐบล็อก 6"</t>
  </si>
  <si>
    <t>D1140 อิฐบล็อก 8"</t>
  </si>
  <si>
    <t>D1150 อิฐบล็อก 10"</t>
  </si>
  <si>
    <t>D1160 อิฐมอญ</t>
  </si>
  <si>
    <t>18,400,100.00%</t>
  </si>
  <si>
    <t>87.09%</t>
  </si>
  <si>
    <t>D1170 อิฐมวลเบาหนา 7 , 7.5 ฃม</t>
  </si>
  <si>
    <t>4,577,500.00%</t>
  </si>
  <si>
    <t>D1171 อิฐมวลเบาหนา 9 ฃม</t>
  </si>
  <si>
    <t>D1172 อิฐมวลเบาหนา 10 ฃม</t>
  </si>
  <si>
    <t>.15%</t>
  </si>
  <si>
    <t>D1173 อิฐมวลเบาหนา 15 ฃม</t>
  </si>
  <si>
    <t>780,000.00%</t>
  </si>
  <si>
    <t>D1174 อิฐมวลเบาหนา 20 ฃม</t>
  </si>
  <si>
    <t>D1180 อิฐบล็อคแก้ว</t>
  </si>
  <si>
    <t>D1190 เสาเอ็นทับหลังสำเร็จรูป</t>
  </si>
  <si>
    <t>D11999 รวมต้นทุน</t>
  </si>
  <si>
    <t>D1200 ปูนซิเมนต์ถุง</t>
  </si>
  <si>
    <t>128,539.29%</t>
  </si>
  <si>
    <t>105.05%</t>
  </si>
  <si>
    <t>D1210 ปูนซิเมนต์ เสือ,แรด,TPIเขียว, M199,</t>
  </si>
  <si>
    <t>55,000.00%</t>
  </si>
  <si>
    <t>D1220 ปูนซิเมนต์ ตราช้าง TPI แดง อินทรีเพชร</t>
  </si>
  <si>
    <t>44,400.00%</t>
  </si>
  <si>
    <t>D1230 ปูนก่อสำเร็จรูป</t>
  </si>
  <si>
    <t>292,300.00%</t>
  </si>
  <si>
    <t>132.17%</t>
  </si>
  <si>
    <t>D1240 ปูนฉาบสำเร็จรูป ทั่วไป</t>
  </si>
  <si>
    <t>342,775.00%</t>
  </si>
  <si>
    <t>99.17%</t>
  </si>
  <si>
    <t>D1250 ปูนฉาบสำเร็จรูป [โครงสร้าง]</t>
  </si>
  <si>
    <t>30,200.00%</t>
  </si>
  <si>
    <t>62.49%</t>
  </si>
  <si>
    <t>D1260 ปูนฉาบผิวบาง / Skimcoat</t>
  </si>
  <si>
    <t>D1270 ปูนปรับระดับสำเร็จรูป</t>
  </si>
  <si>
    <t>80,100.00%</t>
  </si>
  <si>
    <t>32.70%</t>
  </si>
  <si>
    <t>D12999 รวมต้นทุน</t>
  </si>
  <si>
    <t>D1300 ทราย-หิน</t>
  </si>
  <si>
    <t>425.00%</t>
  </si>
  <si>
    <t>10.62%</t>
  </si>
  <si>
    <t>D1310 ทรายละเอียด</t>
  </si>
  <si>
    <t>D1320 ทรายหยาบ</t>
  </si>
  <si>
    <t>D1330 หินเกล็ด</t>
  </si>
  <si>
    <t>D1340 หินสองพิเศษ</t>
  </si>
  <si>
    <t>D13999 รวมต้นทุน</t>
  </si>
  <si>
    <t>D1400 กระเบื้อง</t>
  </si>
  <si>
    <t>1,113,475.00%</t>
  </si>
  <si>
    <t>103.42%</t>
  </si>
  <si>
    <t>D1410 กระเบื้องผนัง</t>
  </si>
  <si>
    <t>2,302,400.00%</t>
  </si>
  <si>
    <t>108.85%</t>
  </si>
  <si>
    <t>D1420 กระเบื้องพื้น</t>
  </si>
  <si>
    <t>1,651,600.00%</t>
  </si>
  <si>
    <t>88.40%</t>
  </si>
  <si>
    <t>D1430 ปูนกาว</t>
  </si>
  <si>
    <t>445,100.00%</t>
  </si>
  <si>
    <t>318.02%</t>
  </si>
  <si>
    <t>D1440 ปูนยาแนว</t>
  </si>
  <si>
    <t>54,800.00%</t>
  </si>
  <si>
    <t>81.58%</t>
  </si>
  <si>
    <t>D14999 รวมต้นทุน</t>
  </si>
  <si>
    <t>D1500 ยิบซั่มบอร์ด</t>
  </si>
  <si>
    <t>D1510 ยิบซั่มบอร์ด หนา 9 มม</t>
  </si>
  <si>
    <t>D1520 ยิบซั่มบอร์ด หนา 12 มม</t>
  </si>
  <si>
    <t xml:space="preserve">D152012 </t>
  </si>
  <si>
    <t xml:space="preserve">D15212 </t>
  </si>
  <si>
    <t>D1530 ยิบซั่มบอร์ด หนา 15 มม</t>
  </si>
  <si>
    <t>D1540 ยิบซั่มบอร์ด หนา 9 มม กันชื้น</t>
  </si>
  <si>
    <t>D1550 ยิบซั่มบอร์ด หนา 12 มม กันชื้น</t>
  </si>
  <si>
    <t>D1560 ยิบซั่มบอร์ด หนา 15 มม กันชื้น</t>
  </si>
  <si>
    <t>D1570 ยิบซั่มบอร์ด หนา 15 มม กันไฟ</t>
  </si>
  <si>
    <t>D15999 รวมต้นทุน</t>
  </si>
  <si>
    <t>D1600 ฉนวนกันความร้อน</t>
  </si>
  <si>
    <t>16,660.00%</t>
  </si>
  <si>
    <t>43.08%</t>
  </si>
  <si>
    <t>D1610 แผ่นอลูมิเนียมฟอยล์</t>
  </si>
  <si>
    <t>D1620 ไมโครไฟเบอร์</t>
  </si>
  <si>
    <t>83,000.00%</t>
  </si>
  <si>
    <t>41.65%</t>
  </si>
  <si>
    <t xml:space="preserve">D1630 ไฟเบอร์กลาสชนิดพ่น PU / Cellulose  / Fiber</t>
  </si>
  <si>
    <t>D1640 ทาสีสะท้อนแสง</t>
  </si>
  <si>
    <t>D1699 วัสดุอื่นๆ</t>
  </si>
  <si>
    <t>D16999 รวมต้นทุน</t>
  </si>
  <si>
    <t>D1700 ประตู-หน้าต่าง</t>
  </si>
  <si>
    <t>42,033.33%</t>
  </si>
  <si>
    <t>45.84%</t>
  </si>
  <si>
    <t>D1710 วงกบประตู-หน้าต่าง [ไม้]</t>
  </si>
  <si>
    <t>17,000.00%</t>
  </si>
  <si>
    <t>47.52%</t>
  </si>
  <si>
    <t>D1720 บานประตู-หน้าต่าง [ไม้]</t>
  </si>
  <si>
    <t>34,900.00%</t>
  </si>
  <si>
    <t>28.15%</t>
  </si>
  <si>
    <t>D1730 อุปกรณ์ประตู-หน้าต่าง</t>
  </si>
  <si>
    <t>127,900.00%</t>
  </si>
  <si>
    <t>20.85%</t>
  </si>
  <si>
    <t>D1740 ประตู-หน้าต่าง PVC</t>
  </si>
  <si>
    <t>D1750 ประตู-หน้าต่าง เหล็ก</t>
  </si>
  <si>
    <t>72,300.00%</t>
  </si>
  <si>
    <t>D1760 ประตูเหล็ก กันไฟ</t>
  </si>
  <si>
    <t>D17999 รวมต้นทุน</t>
  </si>
  <si>
    <t>D1800 จมูกบันได</t>
  </si>
  <si>
    <t>66,150.00%</t>
  </si>
  <si>
    <t>40.96%</t>
  </si>
  <si>
    <t xml:space="preserve">D1900 เซี้ยมสำเร็จรูป , ร่อง , ลบมุม  PVC</t>
  </si>
  <si>
    <t>701,600.00%</t>
  </si>
  <si>
    <t>13.24%</t>
  </si>
  <si>
    <t>D2000 ม่าน-มู่ลี่-ฉาก</t>
  </si>
  <si>
    <t xml:space="preserve">D2100 วัสดุเช่าส่วนกลาง  ( เฉพาะฝ่าย บ/ช เท่านั้น)</t>
  </si>
  <si>
    <t>-347,103.33%</t>
  </si>
  <si>
    <t>D2110 เหล็กภายใน - H-Beam</t>
  </si>
  <si>
    <t>D2120 เหล็กภายใน - เหล็กแผ่น</t>
  </si>
  <si>
    <t>D2130 เหล็กภายใน - อื่นๆ</t>
  </si>
  <si>
    <t>-1,041,510.00%</t>
  </si>
  <si>
    <t>D21999 รวมต้นทุน</t>
  </si>
  <si>
    <t>D2200 ไม้สำหรับตกแต่ง</t>
  </si>
  <si>
    <t>D2210 ราวไม้</t>
  </si>
  <si>
    <t>D2220 ไม้ลูกขั้นบันได</t>
  </si>
  <si>
    <t>D2230 บัวเชิงผนัง,ธรณี</t>
  </si>
  <si>
    <t>D2240 ไม้ฝ้าเพดาน</t>
  </si>
  <si>
    <t>D2250 ไม้ผนัง</t>
  </si>
  <si>
    <t>D2260 ไม้พื้น</t>
  </si>
  <si>
    <t>D2299 ไม้ตกแต่งอื่นๆ</t>
  </si>
  <si>
    <t>D22999 รวมต้นทุน</t>
  </si>
  <si>
    <t>D2300 กระเบื้องหลังคา</t>
  </si>
  <si>
    <t>D2310 กระเบื้องหลังคาASBESTOS</t>
  </si>
  <si>
    <t>D2320 หลังคา โลหะ</t>
  </si>
  <si>
    <t>D2330 กระเบื้อง C-PAC MONIA</t>
  </si>
  <si>
    <t>D2340 กระเบื้องแสง</t>
  </si>
  <si>
    <t>D23999 รวมต้นทุน</t>
  </si>
  <si>
    <t>D2400 ท่อระบายน้ำ</t>
  </si>
  <si>
    <t>1,817.78%</t>
  </si>
  <si>
    <t>62.76%</t>
  </si>
  <si>
    <t>D2410 ท่อกระเบื้องกระดาษ</t>
  </si>
  <si>
    <t xml:space="preserve">D2420 ท่อ ค.ส.ล  dia 0.30 M</t>
  </si>
  <si>
    <t>31,000.00%</t>
  </si>
  <si>
    <t>64.63%</t>
  </si>
  <si>
    <t xml:space="preserve">D2430 ท่อ ค.ส.ล  dia 0.40 M</t>
  </si>
  <si>
    <t xml:space="preserve">D2440 ท่อ ค.ส.ล  dia 0.50 M</t>
  </si>
  <si>
    <t xml:space="preserve">D2450 ท่อ ค.ส.ล  dia 0.60 M</t>
  </si>
  <si>
    <t xml:space="preserve">D2460 ท่อ ค.ส.ล  dia 0.80 M</t>
  </si>
  <si>
    <t xml:space="preserve">D2470 ท่อ ค.ส.ล  dia 1.00 M</t>
  </si>
  <si>
    <t>D2480 บ่อพักค.ส.ล. สำเร็จรูป / บ่อขยะ คสล.</t>
  </si>
  <si>
    <t>-14,640.00%</t>
  </si>
  <si>
    <t>D2490 รางระบายน้ำค.ส.ล.สำเร็จรูป</t>
  </si>
  <si>
    <t>D24999 รวมต้นทุน</t>
  </si>
  <si>
    <t>D2500 แผ่นพื้นสำเร็จ</t>
  </si>
  <si>
    <t>D2510 พื้นสำเร็จรูปหนา 5 ซม. Solid Plank</t>
  </si>
  <si>
    <t>D2520 METAL DECK</t>
  </si>
  <si>
    <t>D2530 พื้นสำเร็จรูป HOLLOW CORE</t>
  </si>
  <si>
    <t>D2540 ผนังคอนกรีตสำเร็จรูป</t>
  </si>
  <si>
    <t>D2550 GIRDER PLANK / BEAM</t>
  </si>
  <si>
    <t>D25999 รวมต้นทุน</t>
  </si>
  <si>
    <t>D2600 น้ำยาอีพ็อกซี่</t>
  </si>
  <si>
    <t>9,000.00%</t>
  </si>
  <si>
    <t>351.88%</t>
  </si>
  <si>
    <t>D2610 น้ำยายึดเหล็ก</t>
  </si>
  <si>
    <t>51,500.00%</t>
  </si>
  <si>
    <t>508.16%</t>
  </si>
  <si>
    <t>D2620 น้ำยาซ่อมแซม โครงสร้าง</t>
  </si>
  <si>
    <t>D2630 น้ำยาซ่อมแซม รอยรั้ว</t>
  </si>
  <si>
    <t>D2640 เจาะเสียบเหล็กงานก่ออิฐ</t>
  </si>
  <si>
    <t>2,200.00%</t>
  </si>
  <si>
    <t>D2650 Chemical Bolt</t>
  </si>
  <si>
    <t>D2660 Expansion Bolt</t>
  </si>
  <si>
    <t>D26999 รวมต้นทุน</t>
  </si>
  <si>
    <t>D2700 ลวดตะแกรง</t>
  </si>
  <si>
    <t>2,500.00%</t>
  </si>
  <si>
    <t>D2710 ลวดตะแกรงงานฉาบ</t>
  </si>
  <si>
    <t>4,700.00%</t>
  </si>
  <si>
    <t>D2720 ตาข่ายรั้ว / ตาข่ายกันนก</t>
  </si>
  <si>
    <t>D27999 รวมต้นทุน</t>
  </si>
  <si>
    <t>D2800 ตะแกรง PVC สระว่ายน้ำ</t>
  </si>
  <si>
    <t>D2900 NON SHRINK GROUT</t>
  </si>
  <si>
    <t>8,200.00%</t>
  </si>
  <si>
    <t>25.00%</t>
  </si>
  <si>
    <t>D3000 เหล็กตระแกรง</t>
  </si>
  <si>
    <t>D3010 ตระแกรงเหล็กฉีก</t>
  </si>
  <si>
    <t>1,600.00%</t>
  </si>
  <si>
    <t>D3020 ตระแกรงเหล็กสำเร็จรูป Steel Grating</t>
  </si>
  <si>
    <t>D30999 รวมต้นทุน</t>
  </si>
  <si>
    <t>D3100 แผ่น Joint ถนน, ยางมะตอย / Sealantอุดร่องถนน</t>
  </si>
  <si>
    <t>4,000.00%</t>
  </si>
  <si>
    <t>384.29%</t>
  </si>
  <si>
    <t>D3200 บล็อคพื้น, บล็อคปูทางเท้า/ถนน, ขอบทางเท้าสำเร็จรูป</t>
  </si>
  <si>
    <t>261,000.00%</t>
  </si>
  <si>
    <t>93.42%</t>
  </si>
  <si>
    <t>D3300 หินขัด / หินขัดสำเร็จรูป</t>
  </si>
  <si>
    <t>D3500 วัสดุเคลือบผิว</t>
  </si>
  <si>
    <t>D3510 สีDUST PROOF</t>
  </si>
  <si>
    <t>D3520 ผง FLOOR HARDENER</t>
  </si>
  <si>
    <t>D35999 รวมต้นทุน</t>
  </si>
  <si>
    <t>D3600 พรม</t>
  </si>
  <si>
    <t>D3700 หินอ่อน - แกรนิต - หินเทียม</t>
  </si>
  <si>
    <t>13,333.33%</t>
  </si>
  <si>
    <t>D3710 หินอ่อน</t>
  </si>
  <si>
    <t>D3720 หินแกรนิต</t>
  </si>
  <si>
    <t>D3730 หินเทียม / หินอื่นๆ</t>
  </si>
  <si>
    <t>40,000.00%</t>
  </si>
  <si>
    <t>D37999 รวมต้นทุน</t>
  </si>
  <si>
    <t>D3800 บัวปูนสำเร็จรูป</t>
  </si>
  <si>
    <t>D4000 ไม้เทียม PVC</t>
  </si>
  <si>
    <t>D4100 เสาเข็ม</t>
  </si>
  <si>
    <t>97,850.00%</t>
  </si>
  <si>
    <t>208.31%</t>
  </si>
  <si>
    <t>D4110 เสาเข็มไม้</t>
  </si>
  <si>
    <t>124,000.00%</t>
  </si>
  <si>
    <t>248.76%</t>
  </si>
  <si>
    <t xml:space="preserve">D4120 เสาเข็มคอนกรีต  [ สั้น ]</t>
  </si>
  <si>
    <t>71,700.00%</t>
  </si>
  <si>
    <t>115.81%</t>
  </si>
  <si>
    <t>D41999 รวมต้นทุน</t>
  </si>
  <si>
    <t>D4200 สี</t>
  </si>
  <si>
    <t>4,133.33%</t>
  </si>
  <si>
    <t>D4210 สีน้ำพลาสติก</t>
  </si>
  <si>
    <t>2,900.00%</t>
  </si>
  <si>
    <t>D4220 สีน้ำมัน</t>
  </si>
  <si>
    <t>5,100.00%</t>
  </si>
  <si>
    <t>D4299 สีอื่นๆ</t>
  </si>
  <si>
    <t>4,400.00%</t>
  </si>
  <si>
    <t>D42999 รวมต้นทุน</t>
  </si>
  <si>
    <t xml:space="preserve">D4300 เหล็กรูปพรรณ  (D4300 ให้ใช้ F2100 แทน)</t>
  </si>
  <si>
    <t>D4320 สีกันสนิม</t>
  </si>
  <si>
    <t>D4330 สีทาเหล็กรูปพรรณ</t>
  </si>
  <si>
    <t>D43999 รวมต้นทุน</t>
  </si>
  <si>
    <t>D4400 วัสดุแผ่นเรียบ (กรุ ผนัง / ฝ้า / พื้น)</t>
  </si>
  <si>
    <t>D4411 วีว่าบอร์ด หนา 8 มม.</t>
  </si>
  <si>
    <t>D4412 วีว่าบอร์ด หนา 10 มม.</t>
  </si>
  <si>
    <t>D4413 วีว่าบอร์ด หนา 12 มม.</t>
  </si>
  <si>
    <t>D4414 วีว่าบอร์ด หนา 15 มม.</t>
  </si>
  <si>
    <t>D4415 วีว่าบอร์ด หนา 20 มม.</t>
  </si>
  <si>
    <t>D4416 วีว่าบอร์ด หนา 24 มม.</t>
  </si>
  <si>
    <t>D4421 ซิเมนต์บอร์ด 4 มม</t>
  </si>
  <si>
    <t>D4422 ซิเมนต์บอร์ด 6 มม</t>
  </si>
  <si>
    <t>D4423 ซิเมนต์บอร์ด 8 มม</t>
  </si>
  <si>
    <t>D4424 ซิเมนต์บอร์ด 12 มม</t>
  </si>
  <si>
    <t>D4430 ฝ้าอคูสติค</t>
  </si>
  <si>
    <t>D4440 Calsium Silicate</t>
  </si>
  <si>
    <t>D4450 วัสดุอื่นๆ</t>
  </si>
  <si>
    <t>D44999 รวมต้นทุน</t>
  </si>
  <si>
    <t>D8010 ป้องกันวัสดุตกแต่งเสียหาย (กระดาษลูกฟูก, ผ้าใบคลุม</t>
  </si>
  <si>
    <t xml:space="preserve">D9900 CODE D  MISCELLANEOUS</t>
  </si>
  <si>
    <t>46,200.00%</t>
  </si>
  <si>
    <t>99.12%</t>
  </si>
  <si>
    <t>D99999 รวมต้นทุนหมวดค่าวัสดุ</t>
  </si>
  <si>
    <t>E0100 เทคอนกรีต</t>
  </si>
  <si>
    <t>252,600.00%</t>
  </si>
  <si>
    <t>97.00%</t>
  </si>
  <si>
    <t>E0200 ไม้แบบ</t>
  </si>
  <si>
    <t>159,000.00%</t>
  </si>
  <si>
    <t>106.65%</t>
  </si>
  <si>
    <t>E0300 ผูกเหล็ก</t>
  </si>
  <si>
    <t>3,296,600.00%</t>
  </si>
  <si>
    <t>104.15%</t>
  </si>
  <si>
    <t>E0400 งานโครงสร้างอื่นๆ</t>
  </si>
  <si>
    <t>8,906,300.00%</t>
  </si>
  <si>
    <t>73.12%</t>
  </si>
  <si>
    <t>E0500 งานสถาปัตยกรรม</t>
  </si>
  <si>
    <t>4,408,370.00%</t>
  </si>
  <si>
    <t>78.30%</t>
  </si>
  <si>
    <t>E0510 ก่ออิฐ</t>
  </si>
  <si>
    <t>237,700.00%</t>
  </si>
  <si>
    <t>96.92%</t>
  </si>
  <si>
    <t>E0520 ฉาบปูน</t>
  </si>
  <si>
    <t>3,836,600.00%</t>
  </si>
  <si>
    <t>50.51%</t>
  </si>
  <si>
    <t>E0530 เทปูนทรายขัดมัน</t>
  </si>
  <si>
    <t>1,230,100.00%</t>
  </si>
  <si>
    <t>113.45%</t>
  </si>
  <si>
    <t>E0540 ปูกระเบื้อง</t>
  </si>
  <si>
    <t>1,331,000.00%</t>
  </si>
  <si>
    <t>83.52%</t>
  </si>
  <si>
    <t>E0550 เสาเอ็นทับหลัง</t>
  </si>
  <si>
    <t>132,100.00%</t>
  </si>
  <si>
    <t>76.53%</t>
  </si>
  <si>
    <t>E0560 ประตู-หน้าต่าง</t>
  </si>
  <si>
    <t>7,400.00%</t>
  </si>
  <si>
    <t>1.44%</t>
  </si>
  <si>
    <t>E0570 ขัดผิวที่จอดรถ</t>
  </si>
  <si>
    <t>260,100.00%</t>
  </si>
  <si>
    <t>183.11%</t>
  </si>
  <si>
    <t>E0580 แต่งเปลือย</t>
  </si>
  <si>
    <t>528,000.00%</t>
  </si>
  <si>
    <t>157.58%</t>
  </si>
  <si>
    <t>E0590 ฝ้าเพดาน</t>
  </si>
  <si>
    <t>E0599 งานสถาปัตย์อื่นๆ</t>
  </si>
  <si>
    <t>36,520,600.00%</t>
  </si>
  <si>
    <t>109.02%</t>
  </si>
  <si>
    <t>E05999 รวมต้นทุน</t>
  </si>
  <si>
    <t>E0600 ขนย้ายวัสดุ</t>
  </si>
  <si>
    <t>6,800,100.00%</t>
  </si>
  <si>
    <t>25.85%</t>
  </si>
  <si>
    <t>E0700 ทำความสะอาด</t>
  </si>
  <si>
    <t>E0800 ค่าแรงรายวันงานก่อสร้าง</t>
  </si>
  <si>
    <t>23,742,343.11%</t>
  </si>
  <si>
    <t>191.95%</t>
  </si>
  <si>
    <t>E0810 รายวันประเภท 1</t>
  </si>
  <si>
    <t>1,800.00%</t>
  </si>
  <si>
    <t>73.40%</t>
  </si>
  <si>
    <t>E0820 รายวันประเภท 2</t>
  </si>
  <si>
    <t>E0830 รายวันประเภท 3</t>
  </si>
  <si>
    <t>E0840 รายวันประเภท 4</t>
  </si>
  <si>
    <t>E0850 รายวันประเภท 5</t>
  </si>
  <si>
    <t>E0860 รายวันประเภท 6</t>
  </si>
  <si>
    <t>E0870 รายวันประเภท 7</t>
  </si>
  <si>
    <t>E0880 รายวันผู้รับเหมา (ใบขาว)</t>
  </si>
  <si>
    <t>213,677,488.00%</t>
  </si>
  <si>
    <t>311.68%</t>
  </si>
  <si>
    <t>E0890 รายวันอื่นๆ</t>
  </si>
  <si>
    <t>E08999 รวมต้นทุน</t>
  </si>
  <si>
    <t>E0900 ค่าแรงรายวันบริษัท</t>
  </si>
  <si>
    <t>30,039,030.00%</t>
  </si>
  <si>
    <t>109.62%</t>
  </si>
  <si>
    <t>E0910 ค่าแรงรายวันบริษัท [ปกติ]</t>
  </si>
  <si>
    <t>1,900.00%</t>
  </si>
  <si>
    <t>E0920 ค่าแรงรายวันบริษัท [ล่วงเวลา]</t>
  </si>
  <si>
    <t>E0930 พนักงานบริษัท [ล่วงเวลา]</t>
  </si>
  <si>
    <t>84.07%</t>
  </si>
  <si>
    <t>E0940 ค่าแรงฝากเบิก</t>
  </si>
  <si>
    <t>120,151,120.00%</t>
  </si>
  <si>
    <t>84.92%</t>
  </si>
  <si>
    <t>E09999 รวมต้นทุน</t>
  </si>
  <si>
    <t>E1000 ขุดดิน--ปรับดิน</t>
  </si>
  <si>
    <t>41,800.00%</t>
  </si>
  <si>
    <t>27.82%</t>
  </si>
  <si>
    <t>E1010 ขุดดิน--ปรับดิน</t>
  </si>
  <si>
    <t>E1020 ตัดเข็ม</t>
  </si>
  <si>
    <t>125,400.00%</t>
  </si>
  <si>
    <t>97.44%</t>
  </si>
  <si>
    <t>E1030 ปรับพื้น-หยาบ</t>
  </si>
  <si>
    <t>E10999 รวมต้นทุน</t>
  </si>
  <si>
    <t>E1100 ค่าดำเนินการของผู้รับเหมา</t>
  </si>
  <si>
    <t xml:space="preserve">E9900 CODE E  MISCELLANEOUS</t>
  </si>
  <si>
    <t>E99999 รวมต้นทุนหมวดค่าแรงจ้างเหมา</t>
  </si>
  <si>
    <t>F0100 ระบบป้องกันดินพัง</t>
  </si>
  <si>
    <t>F0110 ระบบ Cement Column</t>
  </si>
  <si>
    <t>F0112 ระบบ เข็มไม้</t>
  </si>
  <si>
    <t>F0113 ระบบ Diaphargm Wall (รวมทำค้ำยัน, Platform,เหมาขุด</t>
  </si>
  <si>
    <t>F0120 ระบบ Sheet Pile (รวมทำค้ำยัน, Platform,เหมาขุดดิน)</t>
  </si>
  <si>
    <t>F01999 รวมต้นทุน</t>
  </si>
  <si>
    <t>F0200 ระบบกันซึม</t>
  </si>
  <si>
    <t>10,934.25%</t>
  </si>
  <si>
    <t>13.64%</t>
  </si>
  <si>
    <t>F0210 ระบบกันซึม- ใต้ดิน</t>
  </si>
  <si>
    <t>1,100.00%</t>
  </si>
  <si>
    <t>12.15%</t>
  </si>
  <si>
    <t>F0220 ระบบกันซึม โครงสร้าง / ดาดฟ้า / ห้องน้ำ</t>
  </si>
  <si>
    <t>42,637.00%</t>
  </si>
  <si>
    <t>13.90%</t>
  </si>
  <si>
    <t>F0230 ระบบกันซึมถังน้ำ</t>
  </si>
  <si>
    <t>F0240 เหมาซ่อมรอยรั่วซึม</t>
  </si>
  <si>
    <t>F02999 รวมต้นทุน</t>
  </si>
  <si>
    <t>F0300 ระบบไฟฟ้า</t>
  </si>
  <si>
    <t>1,842,615,300.50%</t>
  </si>
  <si>
    <t>84.40%</t>
  </si>
  <si>
    <t>F0310 จ้างเหมา</t>
  </si>
  <si>
    <t>3,685,230,601.00%</t>
  </si>
  <si>
    <t>F0320 ค่าวัสดุ</t>
  </si>
  <si>
    <t>F03999 รวมต้นทุน</t>
  </si>
  <si>
    <t>F0400 ระบบปรับอากาศ- ระบายอากาศ</t>
  </si>
  <si>
    <t>620,644,725.50%</t>
  </si>
  <si>
    <t>37.41%</t>
  </si>
  <si>
    <t>F0410 จ้างเหมา</t>
  </si>
  <si>
    <t>1,241,289,451.00%</t>
  </si>
  <si>
    <t>F0420 ค่าวัสดุ</t>
  </si>
  <si>
    <t>F04999 รวมต้นทุน</t>
  </si>
  <si>
    <t>F0500 ระบบสุขาภิบาล- ดับเพลิง</t>
  </si>
  <si>
    <t>299,771,196.33%</t>
  </si>
  <si>
    <t>100.59%</t>
  </si>
  <si>
    <t>F0510 วัสดุสุขภัณฑ์ / บ่อบำบัด</t>
  </si>
  <si>
    <t>167,200.00%</t>
  </si>
  <si>
    <t>65.60%</t>
  </si>
  <si>
    <t>F0520 จ้างเหมารวมค่าวัสดุ</t>
  </si>
  <si>
    <t>899,146,389.00%</t>
  </si>
  <si>
    <t>109.26%</t>
  </si>
  <si>
    <t>F0530 จ้างเหมาเฉพาะค่าแรง</t>
  </si>
  <si>
    <t>F05999 รวมต้นทุน</t>
  </si>
  <si>
    <t>F0700 หินขัด / หินขัดสำเร็จรูป</t>
  </si>
  <si>
    <t>F0710 หินขัด</t>
  </si>
  <si>
    <t>F0720 หินขัดสำเร็จรูป</t>
  </si>
  <si>
    <t>F07999 รวมต้นทุน</t>
  </si>
  <si>
    <t>F0800 กรวด-ทรายล้าง , หินล้าง</t>
  </si>
  <si>
    <t>26,176.00%</t>
  </si>
  <si>
    <t>2,552.69%</t>
  </si>
  <si>
    <t>F0900 พื้นไม้</t>
  </si>
  <si>
    <t>F0910 ไม้ปาร์เก้</t>
  </si>
  <si>
    <t>F0920 ไม้พื้นเข้าลิ้น รวมโครงไม้</t>
  </si>
  <si>
    <t>F0930 ไม้พื้นสำเร็จรูป</t>
  </si>
  <si>
    <t>F0940 ค่าจ้างปู-ขัด (เหมา เฉพาะค่า แรง)</t>
  </si>
  <si>
    <t>F09999 รวมต้นทุน</t>
  </si>
  <si>
    <t>F1000 กระเบื้องยาง</t>
  </si>
  <si>
    <t>502,371.00%</t>
  </si>
  <si>
    <t>33.83%</t>
  </si>
  <si>
    <t>F1010 พื้นกระเบื้องยาง</t>
  </si>
  <si>
    <t>1,004,742.00%</t>
  </si>
  <si>
    <t>F1020 บัวเชิงผนัง</t>
  </si>
  <si>
    <t>F10999 รวมต้นทุน</t>
  </si>
  <si>
    <t>F1100 งานวัสดุเคลือบผิวพื้น พิเศษ</t>
  </si>
  <si>
    <t>F1110 สีอีพ็อกซี่</t>
  </si>
  <si>
    <t>F1120 สีDUST PROOF</t>
  </si>
  <si>
    <t>F1130 ผง FLOOR HARDENER</t>
  </si>
  <si>
    <t>F1140 Stampcrete</t>
  </si>
  <si>
    <t>F1150 ระบบ Polyurethane</t>
  </si>
  <si>
    <t>F11999 รวมต้นทุน</t>
  </si>
  <si>
    <t>F1200 ปูพรม</t>
  </si>
  <si>
    <t>F1300 ฝ้าเพดาน</t>
  </si>
  <si>
    <t>126,618.80%</t>
  </si>
  <si>
    <t>18.76%</t>
  </si>
  <si>
    <t>F1310 ฝ้าอคูสติค</t>
  </si>
  <si>
    <t>16,300.00%</t>
  </si>
  <si>
    <t>9.20%</t>
  </si>
  <si>
    <t>F1320 ฝ้าอลูมิเนียมเคลือบสี</t>
  </si>
  <si>
    <t xml:space="preserve">F1330 ฝ้าแผ่นเรียบ  ( ซิเมนต์บอร์ด /  วีว่าบอร์ด/Calsium</t>
  </si>
  <si>
    <t>55,550.00%</t>
  </si>
  <si>
    <t>88.57%</t>
  </si>
  <si>
    <t>F1340 ฝ้าไม้</t>
  </si>
  <si>
    <t>F1350 ฝ้าGYMSUM BOARD</t>
  </si>
  <si>
    <t>561,244.00%</t>
  </si>
  <si>
    <t>15.50%</t>
  </si>
  <si>
    <t>F13999 รวมต้นทุน</t>
  </si>
  <si>
    <t>F1400 ประตู - หน้าต่าง</t>
  </si>
  <si>
    <t>2,720.00%</t>
  </si>
  <si>
    <t>83.06%</t>
  </si>
  <si>
    <t>F1410 ประตู-หน้าต่าง เหล็ก</t>
  </si>
  <si>
    <t>F1420 ประตูเหล็ก กันไฟ</t>
  </si>
  <si>
    <t>13,600.00%</t>
  </si>
  <si>
    <t>207.93%</t>
  </si>
  <si>
    <t>F1430 ประตูม้วน</t>
  </si>
  <si>
    <t>F1440 ประตูสแตนเลส</t>
  </si>
  <si>
    <t>F1450 ประตู-หน้าต่าง UPVC</t>
  </si>
  <si>
    <t>F14999 รวมต้นทุน</t>
  </si>
  <si>
    <t>F1500 งานสแตนเลส</t>
  </si>
  <si>
    <t>2,095.00%</t>
  </si>
  <si>
    <t>31.10%</t>
  </si>
  <si>
    <t>F1510 ราวสแตนเลส</t>
  </si>
  <si>
    <t>F1520 งานสแตนเลสอื่น</t>
  </si>
  <si>
    <t>4,190.00%</t>
  </si>
  <si>
    <t>F15999 รวมต้นทุน</t>
  </si>
  <si>
    <t>F1600 หินอ่อน - แกรนิต</t>
  </si>
  <si>
    <t>22,176,314.00%</t>
  </si>
  <si>
    <t>136.63%</t>
  </si>
  <si>
    <t>F1610 บุผนังระบบเปียก</t>
  </si>
  <si>
    <t>49,803,157.00%</t>
  </si>
  <si>
    <t>F1620 บุผนังระบบแห้ง</t>
  </si>
  <si>
    <t>F1630 บุพื้น</t>
  </si>
  <si>
    <t>F1640 บุเคาน์เตอร์</t>
  </si>
  <si>
    <t>38,902,099.00%</t>
  </si>
  <si>
    <t>F16999 รวมต้นทุน</t>
  </si>
  <si>
    <t>F1700 กั้นผนังภายใน</t>
  </si>
  <si>
    <t>206,425.00%</t>
  </si>
  <si>
    <t>69.98%</t>
  </si>
  <si>
    <t>F1710 ผนังยิบซัมบอร์ด โครงเคร่าเหล็ก</t>
  </si>
  <si>
    <t>510,500.00%</t>
  </si>
  <si>
    <t>87.07%</t>
  </si>
  <si>
    <t>F1720 ผนังไม้ โครงเคร่าไม้</t>
  </si>
  <si>
    <t>F1730 ผนังกั้นห้องจัดเลี้อง</t>
  </si>
  <si>
    <t>F1740 ผนัง ISO WALL</t>
  </si>
  <si>
    <t>F1750 ผนังอลูมิเนียม</t>
  </si>
  <si>
    <t>1,114,500.00%</t>
  </si>
  <si>
    <t>254.61%</t>
  </si>
  <si>
    <t>F1760 ผนังกั้นห้องน้ำสำเร็จรูป</t>
  </si>
  <si>
    <t>26,400.00%</t>
  </si>
  <si>
    <t>5.05%</t>
  </si>
  <si>
    <t>F1770 ผนังซิเมนต์บอร์ด</t>
  </si>
  <si>
    <t>F1799 ผนังภายในอื่นๆ</t>
  </si>
  <si>
    <t>F17999 รวมต้นทุน</t>
  </si>
  <si>
    <t>F1800 วัสดุผนังภายนอก</t>
  </si>
  <si>
    <t>5,737.00%</t>
  </si>
  <si>
    <t>52.19%</t>
  </si>
  <si>
    <t>F1810 GRC</t>
  </si>
  <si>
    <t>F1820 บัวปูนสำเร็จรูป</t>
  </si>
  <si>
    <t>F1830 ผนังคอนกรีตสำเร็จรูป</t>
  </si>
  <si>
    <t>28,485.00%</t>
  </si>
  <si>
    <t>51.85%</t>
  </si>
  <si>
    <t xml:space="preserve">F1840 ผนังโลหะเคลือบสี/แผ่นใส,  Louver โลหะ/แผ่นใส</t>
  </si>
  <si>
    <t>F1850 ผนังอลูมิเนียม</t>
  </si>
  <si>
    <t>F18999 รวมต้นทุน</t>
  </si>
  <si>
    <t>F1900 วัสดุตบแต่งผนัง</t>
  </si>
  <si>
    <t>F1910 แผ่นALUMINIUM COMPOSITE SHEET</t>
  </si>
  <si>
    <t>F1920 แผ่นสแตนเลส ( Cladding , หุ้มเสา ฯ )</t>
  </si>
  <si>
    <t>F1930 Wall Paper</t>
  </si>
  <si>
    <t>F19999 รวมต้นทุน</t>
  </si>
  <si>
    <t>F2000 งานเฟอร์นิเจอร์ - ตบแต่ง</t>
  </si>
  <si>
    <t>F2100 งานเหล็กต่างๆ (ค่าวัสดุ และ ค่าแรง)</t>
  </si>
  <si>
    <t>236,278.33%</t>
  </si>
  <si>
    <t>120.06%</t>
  </si>
  <si>
    <t>F2110 บันไดเหล็ก</t>
  </si>
  <si>
    <t>558.93%</t>
  </si>
  <si>
    <t>F2120 ราวเหล็ก</t>
  </si>
  <si>
    <t>63,480.00%</t>
  </si>
  <si>
    <t>81.36%</t>
  </si>
  <si>
    <t>F2130 งานเหล็กอื่น (เช่น ทำตะแกรงเหล็ก, ฝาบ่อ, ชุบกัลวาไ</t>
  </si>
  <si>
    <t>645,255.00%</t>
  </si>
  <si>
    <t>155.26%</t>
  </si>
  <si>
    <t>F21999 รวมต้นทุน</t>
  </si>
  <si>
    <t>F2200 งานอลูมิเนียม - กระจก</t>
  </si>
  <si>
    <t>15,157,342.50%</t>
  </si>
  <si>
    <t>52.44%</t>
  </si>
  <si>
    <t>F2210 ประตู-หน้าต่าง , Curtain wall</t>
  </si>
  <si>
    <t>314,685.00%</t>
  </si>
  <si>
    <t>51.48%</t>
  </si>
  <si>
    <t>F2220 กระจกเงา</t>
  </si>
  <si>
    <t>30,000,000.00%</t>
  </si>
  <si>
    <t>97.75%</t>
  </si>
  <si>
    <t>F22999 รวมต้นทุน</t>
  </si>
  <si>
    <t>F2300 งานสี</t>
  </si>
  <si>
    <t>575,845.50%</t>
  </si>
  <si>
    <t>77.19%</t>
  </si>
  <si>
    <t>F2310 สีผนัง - สีฝ้าเพดาน</t>
  </si>
  <si>
    <t>3,083,035.00%</t>
  </si>
  <si>
    <t>72.73%</t>
  </si>
  <si>
    <t>F2320 สีเคลือบเงาพื้น</t>
  </si>
  <si>
    <t>F2330 สีพ่นผิวแกรนิต - ผิวทราย</t>
  </si>
  <si>
    <t>F2340 สีประตู หน้าต่าง</t>
  </si>
  <si>
    <t>19,118.00%</t>
  </si>
  <si>
    <t>F2350 สี / สีกันสนิม สำหรับงานเหล็ก</t>
  </si>
  <si>
    <t>97,300.00%</t>
  </si>
  <si>
    <t>108.69%</t>
  </si>
  <si>
    <t>F2360 สีงานถนนและงานสีอื่นๆ</t>
  </si>
  <si>
    <t>255,620.00%</t>
  </si>
  <si>
    <t>131.61%</t>
  </si>
  <si>
    <t>F23999 รวมต้นทุน</t>
  </si>
  <si>
    <t>F2400 ถมดิน , บดอัดหินคลุก - ลูกรัง</t>
  </si>
  <si>
    <t>288,000.00%</t>
  </si>
  <si>
    <t>144.89%</t>
  </si>
  <si>
    <t>F2500 ลิฟท์- บันไดเลื่อน</t>
  </si>
  <si>
    <t>316,800,000.00%</t>
  </si>
  <si>
    <t>F2600 เสาเข็มคอนกรีต</t>
  </si>
  <si>
    <t>160.00%</t>
  </si>
  <si>
    <t>100.06%</t>
  </si>
  <si>
    <t>F2610 เสาเข็มไม้</t>
  </si>
  <si>
    <t>F2620 เสาเข็มคอนกรีต [ ตอก -สั้น ]</t>
  </si>
  <si>
    <t>F2630 เสาเข็มคอนกรีต [ ตอก - ยาว ]</t>
  </si>
  <si>
    <t>F2640 เสาเข็มคอนกรีต [ เจาะ ]</t>
  </si>
  <si>
    <t>F2650 เสาเข็มเหล็ก, Micro Pile</t>
  </si>
  <si>
    <t>F26999 รวมต้นทุน</t>
  </si>
  <si>
    <t>F2700 Post-Tension</t>
  </si>
  <si>
    <t>99.19%</t>
  </si>
  <si>
    <t>F2800 บดอัด-ราดยางถนน</t>
  </si>
  <si>
    <t>F2810 บดอัด-ราดยางถนน</t>
  </si>
  <si>
    <t>F2820 งานอุดรอยต่อถนน (Sealant, ยางมะตอย,.....ฯ)</t>
  </si>
  <si>
    <t>F28999 รวมต้นทุน</t>
  </si>
  <si>
    <t>F2900 หลังคา</t>
  </si>
  <si>
    <t>620.00%</t>
  </si>
  <si>
    <t>208.10%</t>
  </si>
  <si>
    <t>F2910 METAL SHEET</t>
  </si>
  <si>
    <t>122.70%</t>
  </si>
  <si>
    <t>F2920 กระเบื้องแสง</t>
  </si>
  <si>
    <t>F2930 Shrinkle Roof</t>
  </si>
  <si>
    <t>F2940 หลังคาอื่นๆ</t>
  </si>
  <si>
    <t>2,800.00%</t>
  </si>
  <si>
    <t>F2950 ลูกหมุนระบายอากาศ</t>
  </si>
  <si>
    <t>F29999 รวมต้นทุน</t>
  </si>
  <si>
    <t>F3000 ตู้ดับเพลิง</t>
  </si>
  <si>
    <t>F3100 งานโครงหลังคาเหล็ก/โครงเหล็กขนาดใหญ่/Truss/Transfe</t>
  </si>
  <si>
    <t>41.64%</t>
  </si>
  <si>
    <t>F3110 จ้างเหมารวมค่าวัสดุ (รวมงาน SANDBLAST)</t>
  </si>
  <si>
    <t>F3120 จ้างเหมาเฉพาะค่าแรง</t>
  </si>
  <si>
    <t>109.88%</t>
  </si>
  <si>
    <t>F3130 ค่าวัสดุ (รวม J/L Bolt, Turnbuckle …)</t>
  </si>
  <si>
    <t>F31999 รวมต้นทุน</t>
  </si>
  <si>
    <t>F3200 Sky Light</t>
  </si>
  <si>
    <t>F3210 ไฟเบอร์กลาส</t>
  </si>
  <si>
    <t>F3220 โพลีคาร์โบเนต</t>
  </si>
  <si>
    <t>F32999 รวมต้นทุน</t>
  </si>
  <si>
    <t>F3300 รางน้ำฝน</t>
  </si>
  <si>
    <t>F3310 สังกะสี</t>
  </si>
  <si>
    <t>F3320 สแตนเลส</t>
  </si>
  <si>
    <t>F3330 P.V.C.</t>
  </si>
  <si>
    <t>F33999 รวมต้นทุน</t>
  </si>
  <si>
    <t>F3400 วัสดุกันไฟ</t>
  </si>
  <si>
    <t xml:space="preserve">F3410 ชนิดทาสี  ( สีกันไฟ )</t>
  </si>
  <si>
    <t>F3420 ชนิดพ่น</t>
  </si>
  <si>
    <t>F3430 ชนิดหุ้มยิบซั่มกันไฟ</t>
  </si>
  <si>
    <t>F34999 รวมต้นทุน</t>
  </si>
  <si>
    <t>F3500 ฉนวนกันความร้อน</t>
  </si>
  <si>
    <t>2,133.33%</t>
  </si>
  <si>
    <t>F3510 ชนิดพ่น</t>
  </si>
  <si>
    <t>F3520 ชนิดเป็นแผ่น</t>
  </si>
  <si>
    <t>6,400.00%</t>
  </si>
  <si>
    <t>F3530 ชนิดทา</t>
  </si>
  <si>
    <t>F35999 รวมต้นทุน</t>
  </si>
  <si>
    <t>F3600 ปลูกหญ้า-จัดสวน</t>
  </si>
  <si>
    <t>F3700 กำจัดปลวก</t>
  </si>
  <si>
    <t>1,237,550.00%</t>
  </si>
  <si>
    <t>92.02%</t>
  </si>
  <si>
    <t>F3710 ชนิดราด</t>
  </si>
  <si>
    <t>2,475,100.00%</t>
  </si>
  <si>
    <t>F3720 ชนิดติดตั้งท่อ</t>
  </si>
  <si>
    <t>F37999 รวมต้นทุน</t>
  </si>
  <si>
    <t>F3800 ตัดคอนกรีต, เจาะรูคอนกรีต , ตัดร่อง RAMP</t>
  </si>
  <si>
    <t>631,400.00%</t>
  </si>
  <si>
    <t>130.23%</t>
  </si>
  <si>
    <t>F3900 ติดตั้งเหล็กเส้นด้วย Epoxy / Chemical Bolt / Expan</t>
  </si>
  <si>
    <t>F4000 งานเสริมความแข็งแรงโครงสร้าง ( Carbon Fibre)</t>
  </si>
  <si>
    <t>F4100 ซ่อมแซม / ชดเชยค่าเสียหายบ้านข้างเคียง</t>
  </si>
  <si>
    <t>F4200 ทุบ รื้ออาคาร (ที่เป็น Direct Cost)</t>
  </si>
  <si>
    <t>F4300 ทดสอบอาคาร/ทดสอบดิน/ทดสอบเข็ม (Direct cost)</t>
  </si>
  <si>
    <t>300,100.00%</t>
  </si>
  <si>
    <t>11.24%</t>
  </si>
  <si>
    <t>F4400 ทำความสอาดอาคาร (ว่าจ้าง บ.ทำความสอาด)</t>
  </si>
  <si>
    <t>F4500 หลังคาผ้าใบ ( รวมงานโครงเหล็ก )</t>
  </si>
  <si>
    <t>F4600 Raised floor/Access Floor</t>
  </si>
  <si>
    <t>F5999 ค่าใช้จ่ายต้นทุนล่วงหน้า</t>
  </si>
  <si>
    <t>-700.00%</t>
  </si>
  <si>
    <t xml:space="preserve">F9900 CODE F  MISCELLANEOUS</t>
  </si>
  <si>
    <t>5.56%</t>
  </si>
  <si>
    <t>F99999 รวมต้นทุนหมวดค่าจ้างเหมา</t>
  </si>
  <si>
    <t>G0100 ค่าธรรมเนียมธนาคาร</t>
  </si>
  <si>
    <t>260.00%</t>
  </si>
  <si>
    <t>50.04%</t>
  </si>
  <si>
    <t>G0110 ประมูลงาน ( Bid Bond )</t>
  </si>
  <si>
    <t>G0120 เงินล่วงหน้า ( Advance Bond )</t>
  </si>
  <si>
    <t>93.20%</t>
  </si>
  <si>
    <t>G0130 สัญญาก่อสร้าง (Performance Bond), Maintanance bond</t>
  </si>
  <si>
    <t>25.42%</t>
  </si>
  <si>
    <t>G0140 ผลงานล่วงหน้า</t>
  </si>
  <si>
    <t>G0150 ค่าธรรมเนียมทั่วไป</t>
  </si>
  <si>
    <t>G01599 รวมต้นทุน</t>
  </si>
  <si>
    <t>G0200 ภาษีอากร</t>
  </si>
  <si>
    <t>3.23%</t>
  </si>
  <si>
    <t>G0210 ภาษีหักณ.ที่จ่าย</t>
  </si>
  <si>
    <t>G0220 ภาษีมูลค่าเพิ่ม</t>
  </si>
  <si>
    <t>G0230 อากรแสตม์</t>
  </si>
  <si>
    <t>100.02%</t>
  </si>
  <si>
    <t>G02999 รวมต้นทุน</t>
  </si>
  <si>
    <t>G0300 ประกันภัย</t>
  </si>
  <si>
    <t>G0310 ประกันภัย โครงการ ( C.A.R.)</t>
  </si>
  <si>
    <t>G0320 ประกันภัย เครื่องจักรกล</t>
  </si>
  <si>
    <t>G03999 รวมต้นทุน</t>
  </si>
  <si>
    <t>G0400 สบทบกองทุนเงินทดแทน , ประกันสังคม</t>
  </si>
  <si>
    <t>13.75%</t>
  </si>
  <si>
    <t>G0500 ดอกเบี้ย</t>
  </si>
  <si>
    <t>G0600 ค่าใช้จ่ายในการประมูลงาน</t>
  </si>
  <si>
    <t>G0800 ค่าปรับงานล่าช้า</t>
  </si>
  <si>
    <t>G99999 รวมต้นทุนหมวดค่าใช้จ่ายอื่นๆ</t>
  </si>
  <si>
    <t>H0100 ค่าใช้จ่ายทางตรง</t>
  </si>
  <si>
    <t>366.67%</t>
  </si>
  <si>
    <t>H0110 เงินเดือน</t>
  </si>
  <si>
    <t>H0120 ล่วงเวลา</t>
  </si>
  <si>
    <t>H0130 เบี้ยเลี้ยงพนักงาน</t>
  </si>
  <si>
    <t>H01999 รวมต้นทุน</t>
  </si>
  <si>
    <t>H0200 ค่าใช้จ่ายทางออ้ม</t>
  </si>
  <si>
    <t>H0300 ค่าวัสดุอื่นๆ</t>
  </si>
  <si>
    <t>H0400 ล/นมัดจำ-เงินล่วงหน้า</t>
  </si>
  <si>
    <t>H0500 เบี้ยประกันล่วงหน้า</t>
  </si>
  <si>
    <t>H0600 ต้นทุนโอน</t>
  </si>
  <si>
    <t>H0610 ต้นทุนที่โอน</t>
  </si>
  <si>
    <t>H0620 อื่นๆ</t>
  </si>
  <si>
    <t>H0640 ต้นทุนโอนพิเศษ</t>
  </si>
  <si>
    <t>H06999 รวมต้นทุน</t>
  </si>
  <si>
    <t>H0700 ค้างจ่ายภายนอก</t>
  </si>
  <si>
    <t>H0800 ค้างจ่ายภายใน</t>
  </si>
  <si>
    <t>H9999 ต้นทุนพัก</t>
  </si>
  <si>
    <t>H99999 รวมต้นทุนหมวดค่าใช้จ่ายส่วนกลาง</t>
  </si>
  <si>
    <t xml:space="preserve">MBC </t>
  </si>
  <si>
    <t>N0100 Net collection</t>
  </si>
  <si>
    <t>18.18%</t>
  </si>
  <si>
    <t>N0200 Retention deletion</t>
  </si>
  <si>
    <t>N0300 Advanced Payment</t>
  </si>
  <si>
    <t>N0400 Net Collection Extra</t>
  </si>
  <si>
    <t>N0500 Retention deletion extra</t>
  </si>
  <si>
    <t>-100.00%</t>
  </si>
  <si>
    <t>N0600 Advanced payment extra</t>
  </si>
  <si>
    <t>N0700 Other extra</t>
  </si>
  <si>
    <t>O0100 Service</t>
  </si>
  <si>
    <t>O0200 Material</t>
  </si>
  <si>
    <t>O0300 Rental</t>
  </si>
  <si>
    <t>O0400 เหล็กเส้นขาย MLC</t>
  </si>
</sst>
</file>

<file path=xl/styles.xml><?xml version="1.0" encoding="utf-8"?>
<styleSheet xmlns="http://schemas.openxmlformats.org/spreadsheetml/2006/main">
  <numFmts count="1">
    <numFmt numFmtId="164" formatCode="#0\.0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double"/>
      <diagonal/>
    </border>
  </borders>
  <cellStyleXfs count="2">
    <xf numFmtId="0" fontId="0"/>
    <xf numFmtId="3" fontId="0"/>
  </cellStyleXfs>
  <cellXfs count="11">
    <xf numFmtId="0" fontId="0"/>
    <xf numFmtId="3" applyNumberFormat="1" fontId="0" applyFont="1" xfId="1"/>
    <xf numFmtId="0" applyNumberFormat="1" fontId="0" applyFont="1" xfId="0">
      <alignment horizontal="center"/>
    </xf>
    <xf numFmtId="164" applyNumberFormat="1" fontId="0" applyFont="1" xfId="0"/>
    <xf numFmtId="164" applyNumberFormat="1" fontId="0" applyFont="1" xfId="0">
      <alignment horizontal="right"/>
    </xf>
    <xf numFmtId="4" applyNumberFormat="1" fontId="0" applyFont="1" xfId="0"/>
    <xf numFmtId="4" applyNumberFormat="1" fontId="0" applyFont="1" xfId="0">
      <alignment horizontal="right"/>
    </xf>
    <xf numFmtId="4" applyNumberFormat="1" fontId="0" applyFont="1" borderId="1" applyBorder="1" xfId="0">
      <alignment horizontal="right"/>
    </xf>
    <xf numFmtId="4" applyNumberFormat="1" fontId="0" applyFont="1" borderId="2" applyBorder="1" xfId="0">
      <alignment horizontal="right"/>
    </xf>
    <xf numFmtId="0" applyNumberFormat="1" fontId="1" applyFont="1" fillId="2" applyFill="1" xfId="0"/>
    <xf numFmtId="4" applyNumberFormat="1" fontId="1" applyFont="1" fillId="2" applyFill="1" xfId="0"/>
  </cellXfs>
  <cellStyles count="2">
    <cellStyle name="Normal" xfId="0" builtinId="0"/>
    <cellStyle name="TableNumber" xfId="1"/>
  </cellStyles>
  <dxfs count="1">
    <d:dxf xmlns:d="http://schemas.openxmlformats.org/spreadsheetml/2006/main">
      <font>
        <b val="1"/>
        <color rgb="ffff0000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2:E41" headerRowCount="0">
  <tableColumns count="5">
    <tableColumn id="1" name="Accounting Job Cost"/>
    <tableColumn id="2" name=""/>
    <tableColumn id="3" name="Column3"/>
    <tableColumn id="4" name="Income &amp; Cost"/>
    <tableColumn id="5" name="Column5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id="2" name="Data2" displayName="Data2" ref="A2:K644">
  <autoFilter ref="A2:K644"/>
  <tableColumns count="11">
    <tableColumn id="1" name="JobTask"/>
    <tableColumn id="2" name="ThisPeriodQTY"/>
    <tableColumn id="3" name="ThisPeriodAMT"/>
    <tableColumn id="4" name="OpenningQTY"/>
    <tableColumn id="5" name="OpenningAMT"/>
    <tableColumn id="6" name="CumBalQTY"/>
    <tableColumn id="7" name="CumBalAMT"/>
    <tableColumn id="8" name="BudgetQty"/>
    <tableColumn id="9" name="Qry%"/>
    <tableColumn id="10" name="BudgetAMT"/>
    <tableColumn id="11" name="AMT%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id="3" name="Data3" displayName="Data3" ref="A2:K15">
  <autoFilter ref="A2:K15"/>
  <tableColumns count="11">
    <tableColumn id="1" name="JobTask"/>
    <tableColumn id="2" name="ThisPeriodQTY"/>
    <tableColumn id="3" name="ThisPeriodAMT"/>
    <tableColumn id="4" name="OpenningQTY"/>
    <tableColumn id="5" name="OpenningAMT"/>
    <tableColumn id="6" name="CumBalQTY"/>
    <tableColumn id="7" name="CumBalAMT"/>
    <tableColumn id="8" name="BudgetQty"/>
    <tableColumn id="9" name="Qry%"/>
    <tableColumn id="10" name="BudgetAMT"/>
    <tableColumn id="11" name="AMT%"/>
  </tableColumns>
  <tableStyleInfo name="TableStyleDark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1"/>
  <sheetViews>
    <sheetView workbookViewId="0"/>
  </sheetViews>
  <sheetFormatPr defaultRowHeight="15"/>
  <cols>
    <col min="1" max="1" width="43.6922378540039" customWidth="1"/>
    <col min="2" max="2" width="15.0644817352295" customWidth="1" style="5"/>
    <col min="3" max="3" width="9.140625" customWidth="1" style="3"/>
    <col min="4" max="4" width="44.1720581054688" customWidth="1"/>
    <col min="5" max="5" width="15.7253818511963" customWidth="1" style="5"/>
  </cols>
  <sheetData>
    <row r="1">
      <c r="A1" s="2" t="s">
        <v>0</v>
      </c>
      <c r="B1" s="6"/>
      <c r="C1" s="4"/>
      <c r="E1" s="6"/>
    </row>
    <row r="2">
      <c r="A2" s="0" t="s">
        <v>1</v>
      </c>
      <c r="B2" s="6" t="s">
        <v>2</v>
      </c>
      <c r="C2" s="4" t="s">
        <v>2</v>
      </c>
      <c r="D2" s="0" t="s">
        <v>3</v>
      </c>
      <c r="E2" s="6" t="s">
        <v>2</v>
      </c>
    </row>
    <row r="3">
      <c r="A3" s="0" t="s">
        <v>4</v>
      </c>
      <c r="B3" s="6">
        <v>306546825.08</v>
      </c>
      <c r="C3" s="4" t="s">
        <v>2</v>
      </c>
      <c r="D3" s="0" t="s">
        <v>5</v>
      </c>
      <c r="E3" s="6">
        <v>-306335424.66</v>
      </c>
    </row>
    <row r="4">
      <c r="A4" s="0" t="s">
        <v>6</v>
      </c>
      <c r="B4" s="7">
        <v>234240052.02</v>
      </c>
      <c r="C4" s="4" t="s">
        <v>2</v>
      </c>
      <c r="D4" s="0" t="s">
        <v>7</v>
      </c>
      <c r="E4" s="7">
        <v>-211400.42</v>
      </c>
    </row>
    <row r="5">
      <c r="A5" s="0" t="s">
        <v>8</v>
      </c>
      <c r="B5" s="6">
        <f>=B3-B4</f>
      </c>
      <c r="C5" s="4">
        <f>=IFERROR((B5/B3)*100,0)</f>
      </c>
      <c r="D5" s="0" t="s">
        <v>9</v>
      </c>
      <c r="E5" s="8">
        <v>-306546825.08</v>
      </c>
    </row>
    <row r="6">
      <c r="A6" s="0" t="s">
        <v>10</v>
      </c>
      <c r="B6" s="7">
        <v>50825983.32</v>
      </c>
      <c r="C6" s="4" t="s">
        <v>2</v>
      </c>
      <c r="D6" s="0" t="s">
        <v>11</v>
      </c>
      <c r="E6" s="6">
        <v>3148471.57</v>
      </c>
    </row>
    <row r="7">
      <c r="A7" s="0" t="s">
        <v>12</v>
      </c>
      <c r="B7" s="8">
        <f>=B5-B6</f>
      </c>
      <c r="C7" s="4">
        <f>=IFERROR((B7/B3)*100,0)</f>
      </c>
      <c r="D7" s="0" t="s">
        <v>13</v>
      </c>
      <c r="E7" s="6">
        <v>12135460.43</v>
      </c>
    </row>
    <row r="8">
      <c r="A8" s="0" t="s">
        <v>2</v>
      </c>
      <c r="B8" s="6" t="s">
        <v>2</v>
      </c>
      <c r="C8" s="4" t="s">
        <v>2</v>
      </c>
      <c r="D8" s="0" t="s">
        <v>14</v>
      </c>
      <c r="E8" s="6">
        <v>13030574.78</v>
      </c>
    </row>
    <row r="9">
      <c r="A9" s="0" t="s">
        <v>2</v>
      </c>
      <c r="B9" s="6" t="s">
        <v>2</v>
      </c>
      <c r="C9" s="4" t="s">
        <v>2</v>
      </c>
      <c r="D9" s="0" t="s">
        <v>15</v>
      </c>
      <c r="E9" s="6">
        <v>61579823.1</v>
      </c>
    </row>
    <row r="10">
      <c r="A10" s="0" t="s">
        <v>16</v>
      </c>
      <c r="B10" s="6" t="s">
        <v>2</v>
      </c>
      <c r="C10" s="4" t="s">
        <v>2</v>
      </c>
      <c r="D10" s="0" t="s">
        <v>17</v>
      </c>
      <c r="E10" s="6">
        <v>29937771.89</v>
      </c>
    </row>
    <row r="11">
      <c r="A11" s="0" t="s">
        <v>18</v>
      </c>
      <c r="B11" s="6">
        <v>0</v>
      </c>
      <c r="C11" s="4" t="s">
        <v>2</v>
      </c>
      <c r="D11" s="0" t="s">
        <v>19</v>
      </c>
      <c r="E11" s="6">
        <v>126161602.26</v>
      </c>
    </row>
    <row r="12">
      <c r="A12" s="0" t="s">
        <v>2</v>
      </c>
      <c r="B12" s="6" t="s">
        <v>2</v>
      </c>
      <c r="C12" s="4" t="s">
        <v>2</v>
      </c>
      <c r="D12" s="0" t="s">
        <v>20</v>
      </c>
      <c r="E12" s="6">
        <v>1504790.39</v>
      </c>
    </row>
    <row r="13">
      <c r="A13" s="0" t="s">
        <v>21</v>
      </c>
      <c r="B13" s="6">
        <v>0</v>
      </c>
      <c r="C13" s="4" t="s">
        <v>2</v>
      </c>
      <c r="D13" s="0" t="s">
        <v>22</v>
      </c>
      <c r="E13" s="6">
        <v>0</v>
      </c>
    </row>
    <row r="14">
      <c r="A14" s="0" t="s">
        <v>2</v>
      </c>
      <c r="B14" s="6" t="s">
        <v>2</v>
      </c>
      <c r="C14" s="4" t="s">
        <v>2</v>
      </c>
      <c r="D14" s="0" t="s">
        <v>23</v>
      </c>
      <c r="E14" s="7">
        <v>37567540.92</v>
      </c>
    </row>
    <row r="15">
      <c r="A15" s="0" t="s">
        <v>24</v>
      </c>
      <c r="B15" s="7">
        <v>0</v>
      </c>
      <c r="C15" s="4" t="s">
        <v>2</v>
      </c>
      <c r="D15" s="0" t="s">
        <v>25</v>
      </c>
      <c r="E15" s="8">
        <v>285066035.34</v>
      </c>
    </row>
    <row r="16">
      <c r="A16" s="0" t="s">
        <v>26</v>
      </c>
      <c r="B16" s="8">
        <f>=B11+B13+B15</f>
      </c>
      <c r="C16" s="4" t="s">
        <v>2</v>
      </c>
      <c r="D16" s="0" t="s">
        <v>27</v>
      </c>
      <c r="E16" s="6" t="s">
        <v>2</v>
      </c>
    </row>
    <row r="17">
      <c r="A17" s="0" t="s">
        <v>28</v>
      </c>
      <c r="B17" s="6">
        <v>0</v>
      </c>
      <c r="C17" s="4" t="s">
        <v>2</v>
      </c>
      <c r="D17" s="0" t="s">
        <v>29</v>
      </c>
      <c r="E17" s="6">
        <v>1188025</v>
      </c>
    </row>
    <row r="18">
      <c r="A18" s="0" t="s">
        <v>2</v>
      </c>
      <c r="B18" s="6" t="s">
        <v>2</v>
      </c>
      <c r="C18" s="4" t="s">
        <v>2</v>
      </c>
      <c r="D18" s="0" t="s">
        <v>30</v>
      </c>
      <c r="E18" s="6">
        <v>6368771.95</v>
      </c>
    </row>
    <row r="19">
      <c r="A19" s="0" t="s">
        <v>31</v>
      </c>
      <c r="B19" s="6">
        <v>0</v>
      </c>
      <c r="C19" s="4" t="s">
        <v>2</v>
      </c>
      <c r="D19" s="0" t="s">
        <v>32</v>
      </c>
      <c r="E19" s="6">
        <v>669307.37</v>
      </c>
    </row>
    <row r="20">
      <c r="A20" s="0" t="s">
        <v>33</v>
      </c>
      <c r="B20" s="7">
        <v>0</v>
      </c>
      <c r="C20" s="4" t="s">
        <v>2</v>
      </c>
      <c r="D20" s="0" t="s">
        <v>34</v>
      </c>
      <c r="E20" s="6">
        <v>1974586.42</v>
      </c>
    </row>
    <row r="21">
      <c r="A21" s="0" t="s">
        <v>35</v>
      </c>
      <c r="B21" s="8">
        <f>=B17+B19+B20</f>
      </c>
      <c r="C21" s="4" t="s">
        <v>2</v>
      </c>
      <c r="D21" s="0" t="s">
        <v>36</v>
      </c>
      <c r="E21" s="6">
        <v>0</v>
      </c>
    </row>
    <row r="22">
      <c r="A22" s="0" t="s">
        <v>8</v>
      </c>
      <c r="B22" s="6">
        <f>=(B11+B13+B15)-(B17+B19+B20)</f>
      </c>
      <c r="C22" s="4">
        <f>=IFERROR((((B11+B13+B15)-(B17+B19+B20))/(B11+B13+B15))*100,0)</f>
      </c>
      <c r="D22" s="0" t="s">
        <v>37</v>
      </c>
      <c r="E22" s="6">
        <v>68097.1</v>
      </c>
    </row>
    <row r="23">
      <c r="A23" s="0" t="s">
        <v>38</v>
      </c>
      <c r="B23" s="6">
        <v>0</v>
      </c>
      <c r="C23" s="4" t="s">
        <v>2</v>
      </c>
      <c r="D23" s="0" t="s">
        <v>39</v>
      </c>
      <c r="E23" s="6">
        <v>351728.02</v>
      </c>
    </row>
    <row r="24">
      <c r="A24" s="0" t="s">
        <v>40</v>
      </c>
      <c r="B24" s="7">
        <v>0</v>
      </c>
      <c r="C24" s="4" t="s">
        <v>2</v>
      </c>
      <c r="D24" s="0" t="s">
        <v>41</v>
      </c>
      <c r="E24" s="6">
        <v>648956.18</v>
      </c>
    </row>
    <row r="25">
      <c r="A25" s="0" t="s">
        <v>12</v>
      </c>
      <c r="B25" s="8">
        <f>=((B11+B13+B15)-(B17+B19+B20))-(B23+B24)</f>
      </c>
      <c r="C25" s="4">
        <f>=IFERROR(((((B11+B13+B15)-(B17+B19+B20))-(B23+B24))/(B11+B13+B15))*100,0)</f>
      </c>
      <c r="D25" s="0" t="s">
        <v>42</v>
      </c>
      <c r="E25" s="6">
        <v>2188970.36</v>
      </c>
    </row>
    <row r="26">
      <c r="A26" s="0" t="s">
        <v>2</v>
      </c>
      <c r="B26" s="6" t="s">
        <v>2</v>
      </c>
      <c r="C26" s="4" t="s">
        <v>2</v>
      </c>
      <c r="D26" s="0" t="s">
        <v>43</v>
      </c>
      <c r="E26" s="6">
        <v>11143329.2</v>
      </c>
    </row>
    <row r="27">
      <c r="A27" s="0" t="s">
        <v>2</v>
      </c>
      <c r="B27" s="6" t="s">
        <v>2</v>
      </c>
      <c r="C27" s="4" t="s">
        <v>2</v>
      </c>
      <c r="D27" s="0" t="s">
        <v>44</v>
      </c>
      <c r="E27" s="6">
        <v>0</v>
      </c>
    </row>
    <row r="28">
      <c r="A28" s="0" t="s">
        <v>2</v>
      </c>
      <c r="B28" s="6" t="s">
        <v>2</v>
      </c>
      <c r="C28" s="4" t="s">
        <v>2</v>
      </c>
      <c r="D28" s="0" t="s">
        <v>45</v>
      </c>
      <c r="E28" s="6">
        <v>26224211.72</v>
      </c>
    </row>
    <row r="29">
      <c r="A29" s="0" t="s">
        <v>2</v>
      </c>
      <c r="B29" s="6" t="s">
        <v>2</v>
      </c>
      <c r="C29" s="4" t="s">
        <v>2</v>
      </c>
      <c r="D29" s="0" t="s">
        <v>46</v>
      </c>
      <c r="E29" s="7">
        <v>0</v>
      </c>
    </row>
    <row r="30">
      <c r="A30" s="0" t="s">
        <v>2</v>
      </c>
      <c r="B30" s="6" t="s">
        <v>2</v>
      </c>
      <c r="C30" s="4" t="s">
        <v>2</v>
      </c>
      <c r="D30" s="0" t="s">
        <v>47</v>
      </c>
      <c r="E30" s="8">
        <v>50825983.32</v>
      </c>
    </row>
    <row r="31">
      <c r="A31" s="0" t="s">
        <v>2</v>
      </c>
      <c r="B31" s="6" t="s">
        <v>2</v>
      </c>
      <c r="C31" s="4" t="s">
        <v>2</v>
      </c>
      <c r="D31" s="0" t="s">
        <v>48</v>
      </c>
      <c r="E31" s="6" t="s">
        <v>2</v>
      </c>
    </row>
    <row r="32">
      <c r="A32" s="0" t="s">
        <v>2</v>
      </c>
      <c r="B32" s="6" t="s">
        <v>2</v>
      </c>
      <c r="C32" s="4" t="s">
        <v>2</v>
      </c>
      <c r="D32" s="0" t="s">
        <v>49</v>
      </c>
      <c r="E32" s="6">
        <v>1242789.89</v>
      </c>
    </row>
    <row r="33">
      <c r="A33" s="0" t="s">
        <v>2</v>
      </c>
      <c r="B33" s="6" t="s">
        <v>2</v>
      </c>
      <c r="C33" s="4" t="s">
        <v>2</v>
      </c>
      <c r="D33" s="0" t="s">
        <v>50</v>
      </c>
      <c r="E33" s="6">
        <v>5079083.49</v>
      </c>
    </row>
    <row r="34">
      <c r="A34" s="0" t="s">
        <v>2</v>
      </c>
      <c r="B34" s="6" t="s">
        <v>2</v>
      </c>
      <c r="C34" s="4" t="s">
        <v>2</v>
      </c>
      <c r="D34" s="0" t="s">
        <v>51</v>
      </c>
      <c r="E34" s="6">
        <v>659921.54</v>
      </c>
    </row>
    <row r="35">
      <c r="A35" s="0" t="s">
        <v>2</v>
      </c>
      <c r="B35" s="6" t="s">
        <v>2</v>
      </c>
      <c r="C35" s="4" t="s">
        <v>2</v>
      </c>
      <c r="D35" s="0" t="s">
        <v>52</v>
      </c>
      <c r="E35" s="6">
        <v>863926.52</v>
      </c>
    </row>
    <row r="36">
      <c r="A36" s="0" t="s">
        <v>2</v>
      </c>
      <c r="B36" s="6" t="s">
        <v>2</v>
      </c>
      <c r="C36" s="4" t="s">
        <v>2</v>
      </c>
      <c r="D36" s="0" t="s">
        <v>53</v>
      </c>
      <c r="E36" s="6">
        <v>3222495.84</v>
      </c>
    </row>
    <row r="37">
      <c r="A37" s="0" t="s">
        <v>2</v>
      </c>
      <c r="B37" s="6" t="s">
        <v>2</v>
      </c>
      <c r="C37" s="4" t="s">
        <v>2</v>
      </c>
      <c r="D37" s="0" t="s">
        <v>54</v>
      </c>
      <c r="E37" s="6">
        <v>1870946.8</v>
      </c>
    </row>
    <row r="38">
      <c r="A38" s="0" t="s">
        <v>2</v>
      </c>
      <c r="B38" s="6" t="s">
        <v>2</v>
      </c>
      <c r="C38" s="4" t="s">
        <v>2</v>
      </c>
      <c r="D38" s="0" t="s">
        <v>22</v>
      </c>
      <c r="E38" s="6">
        <v>0</v>
      </c>
    </row>
    <row r="39">
      <c r="A39" s="0" t="s">
        <v>2</v>
      </c>
      <c r="B39" s="6" t="s">
        <v>2</v>
      </c>
      <c r="C39" s="4" t="s">
        <v>2</v>
      </c>
      <c r="D39" s="0" t="s">
        <v>55</v>
      </c>
      <c r="E39" s="6">
        <v>0</v>
      </c>
    </row>
    <row r="40">
      <c r="A40" s="0" t="s">
        <v>2</v>
      </c>
      <c r="B40" s="6" t="s">
        <v>2</v>
      </c>
      <c r="C40" s="4" t="s">
        <v>2</v>
      </c>
      <c r="D40" s="0" t="s">
        <v>56</v>
      </c>
      <c r="E40" s="6">
        <v>-200000</v>
      </c>
    </row>
    <row r="41">
      <c r="A41" s="0" t="s">
        <v>2</v>
      </c>
      <c r="B41" s="5" t="s">
        <v>2</v>
      </c>
      <c r="C41" s="3" t="s">
        <v>2</v>
      </c>
      <c r="D41" s="0" t="s">
        <v>57</v>
      </c>
      <c r="E41" s="5">
        <v>200000</v>
      </c>
    </row>
  </sheetData>
  <mergeCells>
    <mergeCell ref="A1:E1"/>
  </mergeCells>
  <conditionalFormatting sqref="A1:AZ10000">
    <cfRule priority="1" type="cellIs" operator="lessThan" dxfId="0">
      <formula>0</formula>
    </cfRule>
  </conditionalFormatting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K15"/>
  <sheetViews>
    <sheetView workbookViewId="0"/>
  </sheetViews>
  <sheetFormatPr defaultRowHeight="15"/>
  <cols>
    <col min="1" max="1" width="28.8148231506348" customWidth="1"/>
    <col min="2" max="2" width="14.1999912261963" customWidth="1" style="5"/>
    <col min="3" max="3" width="14.7913227081299" customWidth="1" style="5"/>
    <col min="4" max="4" width="13.5554599761963" customWidth="1" style="5"/>
    <col min="5" max="5" width="14.6491174697876" customWidth="1" style="5"/>
    <col min="6" max="6" width="13.5554599761963" customWidth="1" style="5"/>
    <col min="7" max="7" width="15.0818729400635" customWidth="1" style="5"/>
    <col min="8" max="8" width="10.8187608718872" customWidth="1" style="5"/>
    <col min="9" max="9" width="15.5136079788208" customWidth="1" style="5"/>
    <col min="10" max="10" width="11.9165096282959" customWidth="1" style="5"/>
    <col min="11" max="11" width="9.140625" customWidth="1" style="5"/>
  </cols>
  <sheetData>
    <row r="1">
      <c r="A1" s="2" t="s">
        <v>0</v>
      </c>
    </row>
    <row r="2">
      <c r="A2" s="0" t="s">
        <v>58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5" t="s">
        <v>64</v>
      </c>
      <c r="H2" s="5" t="s">
        <v>65</v>
      </c>
      <c r="I2" s="5" t="s">
        <v>66</v>
      </c>
      <c r="J2" s="5" t="s">
        <v>67</v>
      </c>
      <c r="K2" s="5" t="s">
        <v>68</v>
      </c>
    </row>
    <row r="3">
      <c r="A3" s="0" t="s">
        <v>69</v>
      </c>
      <c r="B3" s="5">
        <v>0</v>
      </c>
      <c r="C3" s="5">
        <v>0</v>
      </c>
      <c r="D3" s="5">
        <v>-2</v>
      </c>
      <c r="E3" s="5">
        <v>-306335424.66</v>
      </c>
      <c r="F3" s="5">
        <v>-2</v>
      </c>
      <c r="G3" s="5">
        <v>-306335424.66</v>
      </c>
      <c r="H3" s="5">
        <v>49</v>
      </c>
      <c r="I3" s="5" t="s">
        <v>70</v>
      </c>
      <c r="J3" s="5">
        <v>0</v>
      </c>
      <c r="K3" s="5" t="s">
        <v>71</v>
      </c>
    </row>
    <row r="4">
      <c r="A4" s="0" t="s">
        <v>72</v>
      </c>
      <c r="B4" s="5">
        <v>0</v>
      </c>
      <c r="C4" s="5">
        <v>0</v>
      </c>
      <c r="D4" s="5">
        <v>-1</v>
      </c>
      <c r="E4" s="5">
        <v>-211400.41999999998</v>
      </c>
      <c r="F4" s="5">
        <v>-1</v>
      </c>
      <c r="G4" s="5">
        <v>-211400.41999999998</v>
      </c>
      <c r="H4" s="5">
        <v>5</v>
      </c>
      <c r="I4" s="5" t="s">
        <v>73</v>
      </c>
      <c r="J4" s="5">
        <v>0</v>
      </c>
      <c r="K4" s="5" t="s">
        <v>71</v>
      </c>
    </row>
    <row r="5">
      <c r="A5" s="9" t="s">
        <v>74</v>
      </c>
      <c r="B5" s="10">
        <v>0</v>
      </c>
      <c r="C5" s="10">
        <v>0</v>
      </c>
      <c r="D5" s="10">
        <v>-3</v>
      </c>
      <c r="E5" s="10">
        <v>-306546825.08</v>
      </c>
      <c r="F5" s="10">
        <v>-3</v>
      </c>
      <c r="G5" s="10">
        <v>-306546825.08</v>
      </c>
      <c r="H5" s="10">
        <v>54</v>
      </c>
      <c r="I5" s="10" t="s">
        <v>75</v>
      </c>
      <c r="J5" s="10">
        <v>0</v>
      </c>
      <c r="K5" s="10" t="s">
        <v>76</v>
      </c>
    </row>
    <row r="6">
      <c r="A6" s="0" t="s">
        <v>77</v>
      </c>
      <c r="B6" s="5">
        <v>13</v>
      </c>
      <c r="C6" s="5">
        <v>77110.1</v>
      </c>
      <c r="D6" s="5">
        <v>1085</v>
      </c>
      <c r="E6" s="5">
        <v>3071361.47</v>
      </c>
      <c r="F6" s="5">
        <v>1098</v>
      </c>
      <c r="G6" s="5">
        <v>3148471.57</v>
      </c>
      <c r="H6" s="5">
        <v>35</v>
      </c>
      <c r="I6" s="5" t="s">
        <v>78</v>
      </c>
      <c r="J6" s="5">
        <v>6197910</v>
      </c>
      <c r="K6" s="5" t="s">
        <v>79</v>
      </c>
    </row>
    <row r="7">
      <c r="A7" s="0" t="s">
        <v>80</v>
      </c>
      <c r="B7" s="5">
        <v>91</v>
      </c>
      <c r="C7" s="5">
        <v>95949.26</v>
      </c>
      <c r="D7" s="5">
        <v>386528.64</v>
      </c>
      <c r="E7" s="5">
        <v>12039511.17</v>
      </c>
      <c r="F7" s="5">
        <v>386619.64</v>
      </c>
      <c r="G7" s="5">
        <v>12135460.43</v>
      </c>
      <c r="H7" s="5">
        <v>22</v>
      </c>
      <c r="I7" s="5" t="s">
        <v>81</v>
      </c>
      <c r="J7" s="5">
        <v>10824450</v>
      </c>
      <c r="K7" s="5" t="s">
        <v>82</v>
      </c>
    </row>
    <row r="8">
      <c r="A8" s="0" t="s">
        <v>83</v>
      </c>
      <c r="B8" s="5">
        <v>1850</v>
      </c>
      <c r="C8" s="5">
        <v>87146.36</v>
      </c>
      <c r="D8" s="5">
        <v>822.90000000000009</v>
      </c>
      <c r="E8" s="5">
        <v>12943428.419999998</v>
      </c>
      <c r="F8" s="5">
        <v>2672.9</v>
      </c>
      <c r="G8" s="5">
        <v>13030574.78</v>
      </c>
      <c r="H8" s="5">
        <v>24</v>
      </c>
      <c r="I8" s="5" t="s">
        <v>84</v>
      </c>
      <c r="J8" s="5">
        <v>9319500</v>
      </c>
      <c r="K8" s="5" t="s">
        <v>85</v>
      </c>
    </row>
    <row r="9">
      <c r="A9" s="0" t="s">
        <v>86</v>
      </c>
      <c r="B9" s="5">
        <v>304.7</v>
      </c>
      <c r="C9" s="5">
        <v>11882.754</v>
      </c>
      <c r="D9" s="5">
        <v>1466577.46</v>
      </c>
      <c r="E9" s="5">
        <v>61567940.349999994</v>
      </c>
      <c r="F9" s="5">
        <v>1466882.16</v>
      </c>
      <c r="G9" s="5">
        <v>61579823.104</v>
      </c>
      <c r="H9" s="5">
        <v>179</v>
      </c>
      <c r="I9" s="5" t="s">
        <v>87</v>
      </c>
      <c r="J9" s="5">
        <v>59524001.999999993</v>
      </c>
      <c r="K9" s="5" t="s">
        <v>88</v>
      </c>
    </row>
    <row r="10">
      <c r="A10" s="0" t="s">
        <v>89</v>
      </c>
      <c r="B10" s="5">
        <v>63156.36</v>
      </c>
      <c r="C10" s="5">
        <v>185751.85</v>
      </c>
      <c r="D10" s="5">
        <v>3993674.02</v>
      </c>
      <c r="E10" s="5">
        <v>29752020.04</v>
      </c>
      <c r="F10" s="5">
        <v>4056830.38</v>
      </c>
      <c r="G10" s="5">
        <v>29937771.89</v>
      </c>
      <c r="H10" s="5">
        <v>33</v>
      </c>
      <c r="I10" s="5" t="s">
        <v>90</v>
      </c>
      <c r="J10" s="5">
        <v>25548005</v>
      </c>
      <c r="K10" s="5" t="s">
        <v>91</v>
      </c>
    </row>
    <row r="11">
      <c r="A11" s="0" t="s">
        <v>92</v>
      </c>
      <c r="B11" s="5">
        <v>503723.02999999997</v>
      </c>
      <c r="C11" s="5">
        <v>683001.58</v>
      </c>
      <c r="D11" s="5">
        <v>62225583.11</v>
      </c>
      <c r="E11" s="5">
        <v>125478600.68</v>
      </c>
      <c r="F11" s="5">
        <v>62729306.14</v>
      </c>
      <c r="G11" s="5">
        <v>126161602.25999999</v>
      </c>
      <c r="H11" s="5">
        <v>118</v>
      </c>
      <c r="I11" s="5" t="s">
        <v>93</v>
      </c>
      <c r="J11" s="5">
        <v>115207405</v>
      </c>
      <c r="K11" s="5" t="s">
        <v>94</v>
      </c>
    </row>
    <row r="12">
      <c r="A12" s="0" t="s">
        <v>95</v>
      </c>
      <c r="B12" s="5">
        <v>4</v>
      </c>
      <c r="C12" s="5">
        <v>115503.53</v>
      </c>
      <c r="D12" s="5">
        <v>75</v>
      </c>
      <c r="E12" s="5">
        <v>1389286.86</v>
      </c>
      <c r="F12" s="5">
        <v>79</v>
      </c>
      <c r="G12" s="5">
        <v>1504790.3900000001</v>
      </c>
      <c r="H12" s="5">
        <v>14</v>
      </c>
      <c r="I12" s="5" t="s">
        <v>96</v>
      </c>
      <c r="J12" s="5">
        <v>11883713</v>
      </c>
      <c r="K12" s="5" t="s">
        <v>97</v>
      </c>
    </row>
    <row r="13">
      <c r="A13" s="0" t="s">
        <v>98</v>
      </c>
      <c r="B13" s="5">
        <v>0</v>
      </c>
      <c r="C13" s="5">
        <v>0</v>
      </c>
      <c r="D13" s="5">
        <v>35</v>
      </c>
      <c r="E13" s="5">
        <v>37567540.92</v>
      </c>
      <c r="F13" s="5">
        <v>35</v>
      </c>
      <c r="G13" s="5">
        <v>37567540.92</v>
      </c>
      <c r="H13" s="5">
        <v>13</v>
      </c>
      <c r="I13" s="5" t="s">
        <v>99</v>
      </c>
      <c r="J13" s="5">
        <v>0</v>
      </c>
      <c r="K13" s="5" t="s">
        <v>71</v>
      </c>
    </row>
    <row r="14">
      <c r="A14" s="9" t="s">
        <v>100</v>
      </c>
      <c r="B14" s="10">
        <v>569142.09</v>
      </c>
      <c r="C14" s="10">
        <v>1256345.4340000001</v>
      </c>
      <c r="D14" s="10">
        <v>68074381.13</v>
      </c>
      <c r="E14" s="10">
        <v>283809689.90999997</v>
      </c>
      <c r="F14" s="10">
        <v>68643523.22</v>
      </c>
      <c r="G14" s="10">
        <v>285066035.34400004</v>
      </c>
      <c r="H14" s="10">
        <v>438</v>
      </c>
      <c r="I14" s="10" t="s">
        <v>101</v>
      </c>
      <c r="J14" s="10">
        <v>238504985</v>
      </c>
      <c r="K14" s="10" t="s">
        <v>102</v>
      </c>
    </row>
    <row r="15">
      <c r="A15" s="9" t="s">
        <v>103</v>
      </c>
      <c r="B15" s="10">
        <v>-569142.09</v>
      </c>
      <c r="C15" s="10">
        <v>-1256345.4340000001</v>
      </c>
      <c r="D15" s="10">
        <v>-68074378.13</v>
      </c>
      <c r="E15" s="10">
        <v>22737135.169999998</v>
      </c>
      <c r="F15" s="10">
        <v>-68643520.22</v>
      </c>
      <c r="G15" s="10">
        <v>21480789.735999998</v>
      </c>
      <c r="H15" s="10">
        <v>-492.00000000000006</v>
      </c>
      <c r="I15" s="10" t="s">
        <v>104</v>
      </c>
      <c r="J15" s="10">
        <v>-238504985</v>
      </c>
      <c r="K15" s="10" t="s">
        <v>105</v>
      </c>
    </row>
  </sheetData>
  <mergeCells>
    <mergeCell ref="A1:K1"/>
  </mergeCells>
  <conditionalFormatting sqref="A1:AZ10000">
    <cfRule priority="1" type="cellIs" operator="lessThan" dxfId="0">
      <formula>0</formula>
    </cfRule>
  </conditionalFormatting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K644"/>
  <sheetViews>
    <sheetView workbookViewId="0"/>
  </sheetViews>
  <sheetFormatPr defaultRowHeight="15"/>
  <cols>
    <col min="1" max="1" width="57.3245849609375" customWidth="1"/>
    <col min="2" max="2" width="14.1999912261963" customWidth="1" style="5"/>
    <col min="3" max="3" width="14.7913227081299" customWidth="1" style="5"/>
    <col min="4" max="4" width="13.5165843963623" customWidth="1" style="5"/>
    <col min="5" max="5" width="14.6491174697876" customWidth="1" style="5"/>
    <col min="6" max="6" width="12.8945598602295" customWidth="1" style="5"/>
    <col min="7" max="7" width="14.6491174697876" customWidth="1" style="5"/>
    <col min="8" max="8" width="10.8187608718872" customWidth="1" style="5"/>
    <col min="9" max="9" width="18.2390537261963" customWidth="1" style="5"/>
    <col min="10" max="10" width="11.8131799697876" customWidth="1" style="5"/>
    <col min="11" max="11" width="12.788161277771" customWidth="1" style="5"/>
  </cols>
  <sheetData>
    <row r="1">
      <c r="A1" s="2" t="s">
        <v>0</v>
      </c>
    </row>
    <row r="2">
      <c r="A2" s="0" t="s">
        <v>58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5" t="s">
        <v>64</v>
      </c>
      <c r="H2" s="5" t="s">
        <v>65</v>
      </c>
      <c r="I2" s="5" t="s">
        <v>66</v>
      </c>
      <c r="J2" s="5" t="s">
        <v>67</v>
      </c>
      <c r="K2" s="5" t="s">
        <v>68</v>
      </c>
    </row>
    <row r="3">
      <c r="A3" s="0" t="s">
        <v>77</v>
      </c>
      <c r="B3" s="5">
        <v>13</v>
      </c>
      <c r="C3" s="5">
        <v>77110.1</v>
      </c>
      <c r="D3" s="5">
        <v>1085</v>
      </c>
      <c r="E3" s="5">
        <v>3071361.47</v>
      </c>
      <c r="F3" s="5">
        <v>1098</v>
      </c>
      <c r="G3" s="5">
        <v>3148471.57</v>
      </c>
      <c r="H3" s="5">
        <v>35</v>
      </c>
      <c r="I3" s="5" t="s">
        <v>78</v>
      </c>
      <c r="J3" s="5">
        <v>6197910</v>
      </c>
      <c r="K3" s="5" t="s">
        <v>79</v>
      </c>
    </row>
    <row r="4">
      <c r="A4" s="0" t="s">
        <v>106</v>
      </c>
      <c r="B4" s="5">
        <v>0</v>
      </c>
      <c r="C4" s="5">
        <v>0</v>
      </c>
      <c r="D4" s="5">
        <v>11</v>
      </c>
      <c r="E4" s="5">
        <v>12200.470000000001</v>
      </c>
      <c r="F4" s="5">
        <v>11</v>
      </c>
      <c r="G4" s="5">
        <v>12200.470000000001</v>
      </c>
      <c r="H4" s="5">
        <v>4</v>
      </c>
      <c r="I4" s="5" t="s">
        <v>107</v>
      </c>
      <c r="J4" s="5">
        <v>330000</v>
      </c>
      <c r="K4" s="5" t="s">
        <v>108</v>
      </c>
    </row>
    <row r="5">
      <c r="A5" s="0" t="s">
        <v>109</v>
      </c>
      <c r="B5" s="5">
        <v>0</v>
      </c>
      <c r="C5" s="5">
        <v>0</v>
      </c>
      <c r="D5" s="5">
        <v>1</v>
      </c>
      <c r="E5" s="5">
        <v>3999.9999999999995</v>
      </c>
      <c r="F5" s="5">
        <v>1</v>
      </c>
      <c r="G5" s="5">
        <v>3999.9999999999995</v>
      </c>
      <c r="H5" s="5">
        <v>1</v>
      </c>
      <c r="I5" s="5" t="s">
        <v>110</v>
      </c>
      <c r="J5" s="5">
        <v>0</v>
      </c>
      <c r="K5" s="5" t="s">
        <v>71</v>
      </c>
    </row>
    <row r="6">
      <c r="A6" s="0" t="s">
        <v>111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 t="s">
        <v>71</v>
      </c>
      <c r="J6" s="5">
        <v>36000</v>
      </c>
      <c r="K6" s="5" t="s">
        <v>71</v>
      </c>
    </row>
    <row r="7">
      <c r="A7" s="0" t="s">
        <v>112</v>
      </c>
      <c r="B7" s="5">
        <v>0</v>
      </c>
      <c r="C7" s="5">
        <v>0</v>
      </c>
      <c r="D7" s="5">
        <v>10</v>
      </c>
      <c r="E7" s="5">
        <v>8200.47</v>
      </c>
      <c r="F7" s="5">
        <v>10</v>
      </c>
      <c r="G7" s="5">
        <v>8200.47</v>
      </c>
      <c r="H7" s="5">
        <v>1</v>
      </c>
      <c r="I7" s="5" t="s">
        <v>113</v>
      </c>
      <c r="J7" s="5">
        <v>114000.00000000001</v>
      </c>
      <c r="K7" s="5" t="s">
        <v>114</v>
      </c>
    </row>
    <row r="8">
      <c r="A8" s="0" t="s">
        <v>115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</v>
      </c>
      <c r="I8" s="5" t="s">
        <v>71</v>
      </c>
      <c r="J8" s="5">
        <v>180000</v>
      </c>
      <c r="K8" s="5" t="s">
        <v>71</v>
      </c>
    </row>
    <row r="9">
      <c r="A9" s="0" t="s">
        <v>116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 t="s">
        <v>71</v>
      </c>
      <c r="J9" s="5">
        <v>0</v>
      </c>
      <c r="K9" s="5" t="s">
        <v>71</v>
      </c>
    </row>
    <row r="10">
      <c r="A10" s="0" t="s">
        <v>117</v>
      </c>
      <c r="B10" s="5">
        <v>0</v>
      </c>
      <c r="C10" s="5">
        <v>0</v>
      </c>
      <c r="D10" s="5">
        <v>34</v>
      </c>
      <c r="E10" s="5">
        <v>4327.8600000000006</v>
      </c>
      <c r="F10" s="5">
        <v>34</v>
      </c>
      <c r="G10" s="5">
        <v>4327.8600000000006</v>
      </c>
      <c r="H10" s="5">
        <v>4</v>
      </c>
      <c r="I10" s="5" t="s">
        <v>118</v>
      </c>
      <c r="J10" s="5">
        <v>1171200</v>
      </c>
      <c r="K10" s="5" t="s">
        <v>119</v>
      </c>
    </row>
    <row r="11">
      <c r="A11" s="0" t="s">
        <v>120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 t="s">
        <v>71</v>
      </c>
      <c r="J11" s="5">
        <v>96000</v>
      </c>
      <c r="K11" s="5" t="s">
        <v>71</v>
      </c>
    </row>
    <row r="12">
      <c r="A12" s="0" t="s">
        <v>121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</v>
      </c>
      <c r="I12" s="5" t="s">
        <v>71</v>
      </c>
      <c r="J12" s="5">
        <v>0</v>
      </c>
      <c r="K12" s="5" t="s">
        <v>71</v>
      </c>
    </row>
    <row r="13">
      <c r="A13" s="0" t="s">
        <v>122</v>
      </c>
      <c r="B13" s="5">
        <v>0</v>
      </c>
      <c r="C13" s="5">
        <v>0</v>
      </c>
      <c r="D13" s="5">
        <v>34</v>
      </c>
      <c r="E13" s="5">
        <v>4327.8600000000006</v>
      </c>
      <c r="F13" s="5">
        <v>34</v>
      </c>
      <c r="G13" s="5">
        <v>4327.8600000000006</v>
      </c>
      <c r="H13" s="5">
        <v>1</v>
      </c>
      <c r="I13" s="5" t="s">
        <v>123</v>
      </c>
      <c r="J13" s="5">
        <v>0</v>
      </c>
      <c r="K13" s="5" t="s">
        <v>71</v>
      </c>
    </row>
    <row r="14">
      <c r="A14" s="0" t="s">
        <v>124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</v>
      </c>
      <c r="I14" s="5" t="s">
        <v>71</v>
      </c>
      <c r="J14" s="5">
        <v>1075200</v>
      </c>
      <c r="K14" s="5" t="s">
        <v>71</v>
      </c>
    </row>
    <row r="15">
      <c r="A15" s="0" t="s">
        <v>125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 t="s">
        <v>71</v>
      </c>
      <c r="J15" s="5">
        <v>0</v>
      </c>
      <c r="K15" s="5" t="s">
        <v>71</v>
      </c>
    </row>
    <row r="16">
      <c r="A16" s="0" t="s">
        <v>126</v>
      </c>
      <c r="B16" s="5">
        <v>4</v>
      </c>
      <c r="C16" s="5">
        <v>1045</v>
      </c>
      <c r="D16" s="5">
        <v>1237.5</v>
      </c>
      <c r="E16" s="5">
        <v>549899.99</v>
      </c>
      <c r="F16" s="5">
        <v>1241.5</v>
      </c>
      <c r="G16" s="5">
        <v>550944.99</v>
      </c>
      <c r="H16" s="5">
        <v>8</v>
      </c>
      <c r="I16" s="5" t="s">
        <v>127</v>
      </c>
      <c r="J16" s="5">
        <v>1475900</v>
      </c>
      <c r="K16" s="5" t="s">
        <v>128</v>
      </c>
    </row>
    <row r="17">
      <c r="A17" s="0" t="s">
        <v>129</v>
      </c>
      <c r="B17" s="5">
        <v>0</v>
      </c>
      <c r="C17" s="5">
        <v>0</v>
      </c>
      <c r="D17" s="5">
        <v>1</v>
      </c>
      <c r="E17" s="5">
        <v>286445.06</v>
      </c>
      <c r="F17" s="5">
        <v>1</v>
      </c>
      <c r="G17" s="5">
        <v>286445.06</v>
      </c>
      <c r="H17" s="5">
        <v>1</v>
      </c>
      <c r="I17" s="5" t="s">
        <v>110</v>
      </c>
      <c r="J17" s="5">
        <v>410400</v>
      </c>
      <c r="K17" s="5" t="s">
        <v>130</v>
      </c>
    </row>
    <row r="18">
      <c r="A18" s="0" t="s">
        <v>131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</v>
      </c>
      <c r="I18" s="5" t="s">
        <v>71</v>
      </c>
      <c r="J18" s="5">
        <v>0</v>
      </c>
      <c r="K18" s="5" t="s">
        <v>71</v>
      </c>
    </row>
    <row r="19">
      <c r="A19" s="0" t="s">
        <v>132</v>
      </c>
      <c r="B19" s="5">
        <v>2</v>
      </c>
      <c r="C19" s="5">
        <v>205</v>
      </c>
      <c r="D19" s="5">
        <v>184.5</v>
      </c>
      <c r="E19" s="5">
        <v>196409.73</v>
      </c>
      <c r="F19" s="5">
        <v>186.5</v>
      </c>
      <c r="G19" s="5">
        <v>196614.73</v>
      </c>
      <c r="H19" s="5">
        <v>1</v>
      </c>
      <c r="I19" s="5" t="s">
        <v>133</v>
      </c>
      <c r="J19" s="5">
        <v>185000</v>
      </c>
      <c r="K19" s="5" t="s">
        <v>134</v>
      </c>
    </row>
    <row r="20">
      <c r="A20" s="0" t="s">
        <v>135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 t="s">
        <v>71</v>
      </c>
      <c r="J20" s="5">
        <v>750000</v>
      </c>
      <c r="K20" s="5" t="s">
        <v>71</v>
      </c>
    </row>
    <row r="21">
      <c r="A21" s="0" t="s">
        <v>136</v>
      </c>
      <c r="B21" s="5">
        <v>0</v>
      </c>
      <c r="C21" s="5">
        <v>0</v>
      </c>
      <c r="D21" s="5">
        <v>1</v>
      </c>
      <c r="E21" s="5">
        <v>14391.56</v>
      </c>
      <c r="F21" s="5">
        <v>1</v>
      </c>
      <c r="G21" s="5">
        <v>14391.56</v>
      </c>
      <c r="H21" s="5">
        <v>1</v>
      </c>
      <c r="I21" s="5" t="s">
        <v>110</v>
      </c>
      <c r="J21" s="5">
        <v>20000</v>
      </c>
      <c r="K21" s="5" t="s">
        <v>137</v>
      </c>
    </row>
    <row r="22">
      <c r="A22" s="0" t="s">
        <v>138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</v>
      </c>
      <c r="I22" s="5" t="s">
        <v>71</v>
      </c>
      <c r="J22" s="5">
        <v>0</v>
      </c>
      <c r="K22" s="5" t="s">
        <v>71</v>
      </c>
    </row>
    <row r="23">
      <c r="A23" s="0" t="s">
        <v>139</v>
      </c>
      <c r="B23" s="5">
        <v>2</v>
      </c>
      <c r="C23" s="5">
        <v>839.99999999999989</v>
      </c>
      <c r="D23" s="5">
        <v>1051</v>
      </c>
      <c r="E23" s="5">
        <v>52653.639999999992</v>
      </c>
      <c r="F23" s="5">
        <v>1053</v>
      </c>
      <c r="G23" s="5">
        <v>53493.640000000007</v>
      </c>
      <c r="H23" s="5">
        <v>1</v>
      </c>
      <c r="I23" s="5" t="s">
        <v>140</v>
      </c>
      <c r="J23" s="5">
        <v>100000.00000000001</v>
      </c>
      <c r="K23" s="5" t="s">
        <v>141</v>
      </c>
    </row>
    <row r="24">
      <c r="A24" s="0" t="s">
        <v>142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</v>
      </c>
      <c r="I24" s="5" t="s">
        <v>71</v>
      </c>
      <c r="J24" s="5">
        <v>10500</v>
      </c>
      <c r="K24" s="5" t="s">
        <v>71</v>
      </c>
    </row>
    <row r="25">
      <c r="A25" s="0" t="s">
        <v>143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 t="s">
        <v>71</v>
      </c>
      <c r="J25" s="5">
        <v>0</v>
      </c>
      <c r="K25" s="5" t="s">
        <v>71</v>
      </c>
    </row>
    <row r="26">
      <c r="A26" s="0" t="s">
        <v>144</v>
      </c>
      <c r="B26" s="5">
        <v>7</v>
      </c>
      <c r="C26" s="5">
        <v>76000</v>
      </c>
      <c r="D26" s="5">
        <v>474.99999999999994</v>
      </c>
      <c r="E26" s="5">
        <v>557698.84000000008</v>
      </c>
      <c r="F26" s="5">
        <v>482</v>
      </c>
      <c r="G26" s="5">
        <v>633698.84</v>
      </c>
      <c r="H26" s="5">
        <v>2</v>
      </c>
      <c r="I26" s="5" t="s">
        <v>145</v>
      </c>
      <c r="J26" s="5">
        <v>904000.00000000012</v>
      </c>
      <c r="K26" s="5" t="s">
        <v>146</v>
      </c>
    </row>
    <row r="27">
      <c r="A27" s="0" t="s">
        <v>147</v>
      </c>
      <c r="B27" s="5">
        <v>0</v>
      </c>
      <c r="C27" s="5">
        <v>0</v>
      </c>
      <c r="D27" s="5">
        <v>1</v>
      </c>
      <c r="E27" s="5">
        <v>52500</v>
      </c>
      <c r="F27" s="5">
        <v>1</v>
      </c>
      <c r="G27" s="5">
        <v>52500</v>
      </c>
      <c r="H27" s="5">
        <v>1</v>
      </c>
      <c r="I27" s="5" t="s">
        <v>110</v>
      </c>
      <c r="J27" s="5">
        <v>55000</v>
      </c>
      <c r="K27" s="5" t="s">
        <v>148</v>
      </c>
    </row>
    <row r="28">
      <c r="A28" s="0" t="s">
        <v>149</v>
      </c>
      <c r="B28" s="5">
        <v>7</v>
      </c>
      <c r="C28" s="5">
        <v>76000</v>
      </c>
      <c r="D28" s="5">
        <v>474</v>
      </c>
      <c r="E28" s="5">
        <v>505198.84</v>
      </c>
      <c r="F28" s="5">
        <v>481</v>
      </c>
      <c r="G28" s="5">
        <v>581198.84</v>
      </c>
      <c r="H28" s="5">
        <v>1</v>
      </c>
      <c r="I28" s="5" t="s">
        <v>150</v>
      </c>
      <c r="J28" s="5">
        <v>849000</v>
      </c>
      <c r="K28" s="5" t="s">
        <v>151</v>
      </c>
    </row>
    <row r="29">
      <c r="A29" s="0" t="s">
        <v>152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 t="s">
        <v>71</v>
      </c>
      <c r="J29" s="5">
        <v>0</v>
      </c>
      <c r="K29" s="5" t="s">
        <v>71</v>
      </c>
    </row>
    <row r="30">
      <c r="A30" s="0" t="s">
        <v>153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</v>
      </c>
      <c r="I30" s="5" t="s">
        <v>71</v>
      </c>
      <c r="J30" s="5">
        <v>22500</v>
      </c>
      <c r="K30" s="5" t="s">
        <v>71</v>
      </c>
    </row>
    <row r="31">
      <c r="A31" s="0" t="s">
        <v>154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 t="s">
        <v>71</v>
      </c>
      <c r="J31" s="5">
        <v>0</v>
      </c>
      <c r="K31" s="5" t="s">
        <v>71</v>
      </c>
    </row>
    <row r="32">
      <c r="A32" s="0" t="s">
        <v>155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1</v>
      </c>
      <c r="I32" s="5" t="s">
        <v>71</v>
      </c>
      <c r="J32" s="5">
        <v>22500</v>
      </c>
      <c r="K32" s="5" t="s">
        <v>71</v>
      </c>
    </row>
    <row r="33">
      <c r="A33" s="0" t="s">
        <v>156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71</v>
      </c>
      <c r="J33" s="5">
        <v>0</v>
      </c>
      <c r="K33" s="5" t="s">
        <v>71</v>
      </c>
    </row>
    <row r="34">
      <c r="A34" s="0" t="s">
        <v>157</v>
      </c>
      <c r="B34" s="5">
        <v>0</v>
      </c>
      <c r="C34" s="5">
        <v>0</v>
      </c>
      <c r="D34" s="5">
        <v>28</v>
      </c>
      <c r="E34" s="5">
        <v>112474.34999999999</v>
      </c>
      <c r="F34" s="5">
        <v>28</v>
      </c>
      <c r="G34" s="5">
        <v>112474.34999999999</v>
      </c>
      <c r="H34" s="5">
        <v>4</v>
      </c>
      <c r="I34" s="5" t="s">
        <v>158</v>
      </c>
      <c r="J34" s="5">
        <v>0</v>
      </c>
      <c r="K34" s="5" t="s">
        <v>71</v>
      </c>
    </row>
    <row r="35">
      <c r="A35" s="0" t="s">
        <v>159</v>
      </c>
      <c r="B35" s="5">
        <v>0</v>
      </c>
      <c r="C35" s="5">
        <v>0</v>
      </c>
      <c r="D35" s="5">
        <v>13</v>
      </c>
      <c r="E35" s="5">
        <v>9044.8</v>
      </c>
      <c r="F35" s="5">
        <v>13</v>
      </c>
      <c r="G35" s="5">
        <v>9044.8</v>
      </c>
      <c r="H35" s="5">
        <v>1</v>
      </c>
      <c r="I35" s="5" t="s">
        <v>160</v>
      </c>
      <c r="J35" s="5">
        <v>0</v>
      </c>
      <c r="K35" s="5" t="s">
        <v>71</v>
      </c>
    </row>
    <row r="36">
      <c r="A36" s="0" t="s">
        <v>161</v>
      </c>
      <c r="B36" s="5">
        <v>0</v>
      </c>
      <c r="C36" s="5">
        <v>0</v>
      </c>
      <c r="D36" s="5">
        <v>1</v>
      </c>
      <c r="E36" s="5">
        <v>6775.0000000000009</v>
      </c>
      <c r="F36" s="5">
        <v>1</v>
      </c>
      <c r="G36" s="5">
        <v>6775.0000000000009</v>
      </c>
      <c r="H36" s="5">
        <v>1</v>
      </c>
      <c r="I36" s="5" t="s">
        <v>110</v>
      </c>
      <c r="J36" s="5">
        <v>0</v>
      </c>
      <c r="K36" s="5" t="s">
        <v>71</v>
      </c>
    </row>
    <row r="37">
      <c r="A37" s="0" t="s">
        <v>162</v>
      </c>
      <c r="B37" s="5">
        <v>0</v>
      </c>
      <c r="C37" s="5">
        <v>0</v>
      </c>
      <c r="D37" s="5">
        <v>10</v>
      </c>
      <c r="E37" s="5">
        <v>9805.4600000000009</v>
      </c>
      <c r="F37" s="5">
        <v>10</v>
      </c>
      <c r="G37" s="5">
        <v>9805.4600000000009</v>
      </c>
      <c r="H37" s="5">
        <v>1</v>
      </c>
      <c r="I37" s="5" t="s">
        <v>113</v>
      </c>
      <c r="J37" s="5">
        <v>0</v>
      </c>
      <c r="K37" s="5" t="s">
        <v>71</v>
      </c>
    </row>
    <row r="38">
      <c r="A38" s="0" t="s">
        <v>163</v>
      </c>
      <c r="B38" s="5">
        <v>0</v>
      </c>
      <c r="C38" s="5">
        <v>0</v>
      </c>
      <c r="D38" s="5">
        <v>4</v>
      </c>
      <c r="E38" s="5">
        <v>86849.09</v>
      </c>
      <c r="F38" s="5">
        <v>4</v>
      </c>
      <c r="G38" s="5">
        <v>86849.09</v>
      </c>
      <c r="H38" s="5">
        <v>1</v>
      </c>
      <c r="I38" s="5" t="s">
        <v>164</v>
      </c>
      <c r="J38" s="5">
        <v>0</v>
      </c>
      <c r="K38" s="5" t="s">
        <v>71</v>
      </c>
    </row>
    <row r="39">
      <c r="A39" s="0" t="s">
        <v>165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 t="s">
        <v>71</v>
      </c>
      <c r="J39" s="5">
        <v>0</v>
      </c>
      <c r="K39" s="5" t="s">
        <v>71</v>
      </c>
    </row>
    <row r="40">
      <c r="A40" s="0" t="s">
        <v>166</v>
      </c>
      <c r="B40" s="5">
        <v>0</v>
      </c>
      <c r="C40" s="5">
        <v>0</v>
      </c>
      <c r="D40" s="5">
        <v>44.5</v>
      </c>
      <c r="E40" s="5">
        <v>136520.96</v>
      </c>
      <c r="F40" s="5">
        <v>44.5</v>
      </c>
      <c r="G40" s="5">
        <v>136520.96</v>
      </c>
      <c r="H40" s="5">
        <v>6</v>
      </c>
      <c r="I40" s="5" t="s">
        <v>167</v>
      </c>
      <c r="J40" s="5">
        <v>464890.00000000006</v>
      </c>
      <c r="K40" s="5" t="s">
        <v>168</v>
      </c>
    </row>
    <row r="41">
      <c r="A41" s="0" t="s">
        <v>169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 t="s">
        <v>71</v>
      </c>
      <c r="J41" s="5">
        <v>50000.000000000007</v>
      </c>
      <c r="K41" s="5" t="s">
        <v>71</v>
      </c>
    </row>
    <row r="42">
      <c r="A42" s="0" t="s">
        <v>170</v>
      </c>
      <c r="B42" s="5">
        <v>0</v>
      </c>
      <c r="C42" s="5">
        <v>0</v>
      </c>
      <c r="D42" s="5">
        <v>1</v>
      </c>
      <c r="E42" s="5">
        <v>59648</v>
      </c>
      <c r="F42" s="5">
        <v>1</v>
      </c>
      <c r="G42" s="5">
        <v>59648</v>
      </c>
      <c r="H42" s="5">
        <v>1</v>
      </c>
      <c r="I42" s="5" t="s">
        <v>110</v>
      </c>
      <c r="J42" s="5">
        <v>96000</v>
      </c>
      <c r="K42" s="5" t="s">
        <v>171</v>
      </c>
    </row>
    <row r="43">
      <c r="A43" s="0" t="s">
        <v>172</v>
      </c>
      <c r="B43" s="5">
        <v>0</v>
      </c>
      <c r="C43" s="5">
        <v>0</v>
      </c>
      <c r="D43" s="5">
        <v>41.5</v>
      </c>
      <c r="E43" s="5">
        <v>65362.09</v>
      </c>
      <c r="F43" s="5">
        <v>41.5</v>
      </c>
      <c r="G43" s="5">
        <v>65362.09</v>
      </c>
      <c r="H43" s="5">
        <v>1</v>
      </c>
      <c r="I43" s="5" t="s">
        <v>173</v>
      </c>
      <c r="J43" s="5">
        <v>72220</v>
      </c>
      <c r="K43" s="5" t="s">
        <v>174</v>
      </c>
    </row>
    <row r="44">
      <c r="A44" s="0" t="s">
        <v>175</v>
      </c>
      <c r="B44" s="5">
        <v>0</v>
      </c>
      <c r="C44" s="5">
        <v>0</v>
      </c>
      <c r="D44" s="5">
        <v>1</v>
      </c>
      <c r="E44" s="5">
        <v>3090</v>
      </c>
      <c r="F44" s="5">
        <v>1</v>
      </c>
      <c r="G44" s="5">
        <v>3090</v>
      </c>
      <c r="H44" s="5">
        <v>1</v>
      </c>
      <c r="I44" s="5" t="s">
        <v>110</v>
      </c>
      <c r="J44" s="5">
        <v>9920</v>
      </c>
      <c r="K44" s="5" t="s">
        <v>176</v>
      </c>
    </row>
    <row r="45">
      <c r="A45" s="0" t="s">
        <v>177</v>
      </c>
      <c r="B45" s="5">
        <v>0</v>
      </c>
      <c r="C45" s="5">
        <v>0</v>
      </c>
      <c r="D45" s="5">
        <v>1</v>
      </c>
      <c r="E45" s="5">
        <v>8420.87</v>
      </c>
      <c r="F45" s="5">
        <v>1</v>
      </c>
      <c r="G45" s="5">
        <v>8420.87</v>
      </c>
      <c r="H45" s="5">
        <v>1</v>
      </c>
      <c r="I45" s="5" t="s">
        <v>110</v>
      </c>
      <c r="J45" s="5">
        <v>96750</v>
      </c>
      <c r="K45" s="5" t="s">
        <v>178</v>
      </c>
    </row>
    <row r="46">
      <c r="A46" s="0" t="s">
        <v>179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1</v>
      </c>
      <c r="I46" s="5" t="s">
        <v>71</v>
      </c>
      <c r="J46" s="5">
        <v>140000</v>
      </c>
      <c r="K46" s="5" t="s">
        <v>71</v>
      </c>
    </row>
    <row r="47">
      <c r="A47" s="0" t="s">
        <v>180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 t="s">
        <v>71</v>
      </c>
      <c r="J47" s="5">
        <v>0</v>
      </c>
      <c r="K47" s="5" t="s">
        <v>71</v>
      </c>
    </row>
    <row r="48">
      <c r="A48" s="0" t="s">
        <v>181</v>
      </c>
      <c r="B48" s="5">
        <v>2</v>
      </c>
      <c r="C48" s="5">
        <v>65.100000000000009</v>
      </c>
      <c r="D48" s="5">
        <v>-745</v>
      </c>
      <c r="E48" s="5">
        <v>1683011</v>
      </c>
      <c r="F48" s="5">
        <v>-743</v>
      </c>
      <c r="G48" s="5">
        <v>1683076.1</v>
      </c>
      <c r="H48" s="5">
        <v>4</v>
      </c>
      <c r="I48" s="5" t="s">
        <v>182</v>
      </c>
      <c r="J48" s="5">
        <v>1729420</v>
      </c>
      <c r="K48" s="5" t="s">
        <v>183</v>
      </c>
    </row>
    <row r="49">
      <c r="A49" s="0" t="s">
        <v>184</v>
      </c>
      <c r="B49" s="5">
        <v>2</v>
      </c>
      <c r="C49" s="5">
        <v>65.100000000000009</v>
      </c>
      <c r="D49" s="5">
        <v>-746</v>
      </c>
      <c r="E49" s="5">
        <v>1495702.8599999999</v>
      </c>
      <c r="F49" s="5">
        <v>-744</v>
      </c>
      <c r="G49" s="5">
        <v>1495767.96</v>
      </c>
      <c r="H49" s="5">
        <v>1</v>
      </c>
      <c r="I49" s="5" t="s">
        <v>185</v>
      </c>
      <c r="J49" s="5">
        <v>960940</v>
      </c>
      <c r="K49" s="5" t="s">
        <v>186</v>
      </c>
    </row>
    <row r="50">
      <c r="A50" s="0" t="s">
        <v>187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1</v>
      </c>
      <c r="I50" s="5" t="s">
        <v>71</v>
      </c>
      <c r="J50" s="5">
        <v>0</v>
      </c>
      <c r="K50" s="5" t="s">
        <v>71</v>
      </c>
    </row>
    <row r="51">
      <c r="A51" s="0" t="s">
        <v>188</v>
      </c>
      <c r="B51" s="5">
        <v>0</v>
      </c>
      <c r="C51" s="5">
        <v>0</v>
      </c>
      <c r="D51" s="5">
        <v>1</v>
      </c>
      <c r="E51" s="5">
        <v>187308.14</v>
      </c>
      <c r="F51" s="5">
        <v>1</v>
      </c>
      <c r="G51" s="5">
        <v>187308.14</v>
      </c>
      <c r="H51" s="5">
        <v>1</v>
      </c>
      <c r="I51" s="5" t="s">
        <v>110</v>
      </c>
      <c r="J51" s="5">
        <v>768480</v>
      </c>
      <c r="K51" s="5" t="s">
        <v>189</v>
      </c>
    </row>
    <row r="52">
      <c r="A52" s="0" t="s">
        <v>190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</v>
      </c>
      <c r="I52" s="5" t="s">
        <v>71</v>
      </c>
      <c r="J52" s="5">
        <v>0</v>
      </c>
      <c r="K52" s="5" t="s">
        <v>71</v>
      </c>
    </row>
    <row r="53">
      <c r="A53" s="0" t="s">
        <v>191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 t="s">
        <v>71</v>
      </c>
      <c r="J53" s="5">
        <v>0</v>
      </c>
      <c r="K53" s="5" t="s">
        <v>71</v>
      </c>
    </row>
    <row r="54">
      <c r="A54" s="0" t="s">
        <v>192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1</v>
      </c>
      <c r="I54" s="5" t="s">
        <v>71</v>
      </c>
      <c r="J54" s="5">
        <v>100000.00000000001</v>
      </c>
      <c r="K54" s="5" t="s">
        <v>71</v>
      </c>
    </row>
    <row r="55">
      <c r="A55" s="0" t="s">
        <v>193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 t="s">
        <v>71</v>
      </c>
      <c r="J55" s="5">
        <v>0</v>
      </c>
      <c r="K55" s="5" t="s">
        <v>71</v>
      </c>
    </row>
    <row r="56">
      <c r="A56" s="0" t="s">
        <v>80</v>
      </c>
      <c r="B56" s="5">
        <v>91</v>
      </c>
      <c r="C56" s="5">
        <v>95949.26</v>
      </c>
      <c r="D56" s="5">
        <v>386528.64</v>
      </c>
      <c r="E56" s="5">
        <v>12039511.17</v>
      </c>
      <c r="F56" s="5">
        <v>386619.64</v>
      </c>
      <c r="G56" s="5">
        <v>12135460.43</v>
      </c>
      <c r="H56" s="5">
        <v>22</v>
      </c>
      <c r="I56" s="5" t="s">
        <v>81</v>
      </c>
      <c r="J56" s="5">
        <v>10824450</v>
      </c>
      <c r="K56" s="5" t="s">
        <v>82</v>
      </c>
    </row>
    <row r="57">
      <c r="A57" s="0" t="s">
        <v>194</v>
      </c>
      <c r="B57" s="5">
        <v>1</v>
      </c>
      <c r="C57" s="5">
        <v>6349.2</v>
      </c>
      <c r="D57" s="5">
        <v>269883.64</v>
      </c>
      <c r="E57" s="5">
        <v>1474514.78</v>
      </c>
      <c r="F57" s="5">
        <v>269884.64</v>
      </c>
      <c r="G57" s="5">
        <v>1480863.98</v>
      </c>
      <c r="H57" s="5">
        <v>1</v>
      </c>
      <c r="I57" s="5" t="s">
        <v>195</v>
      </c>
      <c r="J57" s="5">
        <v>1452000</v>
      </c>
      <c r="K57" s="5" t="s">
        <v>196</v>
      </c>
    </row>
    <row r="58">
      <c r="A58" s="0" t="s">
        <v>197</v>
      </c>
      <c r="B58" s="5">
        <v>2</v>
      </c>
      <c r="C58" s="5">
        <v>13434.87</v>
      </c>
      <c r="D58" s="5">
        <v>31</v>
      </c>
      <c r="E58" s="5">
        <v>1770981.87</v>
      </c>
      <c r="F58" s="5">
        <v>33</v>
      </c>
      <c r="G58" s="5">
        <v>1784416.7400000002</v>
      </c>
      <c r="H58" s="5">
        <v>2</v>
      </c>
      <c r="I58" s="5" t="s">
        <v>198</v>
      </c>
      <c r="J58" s="5">
        <v>1739999.9999999998</v>
      </c>
      <c r="K58" s="5" t="s">
        <v>199</v>
      </c>
    </row>
    <row r="59">
      <c r="A59" s="0" t="s">
        <v>200</v>
      </c>
      <c r="B59" s="5">
        <v>1</v>
      </c>
      <c r="C59" s="5">
        <v>11312.25</v>
      </c>
      <c r="D59" s="5">
        <v>20</v>
      </c>
      <c r="E59" s="5">
        <v>1038958.07</v>
      </c>
      <c r="F59" s="5">
        <v>21</v>
      </c>
      <c r="G59" s="5">
        <v>1050270.32</v>
      </c>
      <c r="H59" s="5">
        <v>1</v>
      </c>
      <c r="I59" s="5" t="s">
        <v>201</v>
      </c>
      <c r="J59" s="5">
        <v>1290000</v>
      </c>
      <c r="K59" s="5" t="s">
        <v>202</v>
      </c>
    </row>
    <row r="60">
      <c r="A60" s="0" t="s">
        <v>203</v>
      </c>
      <c r="B60" s="5">
        <v>1</v>
      </c>
      <c r="C60" s="5">
        <v>2122.62</v>
      </c>
      <c r="D60" s="5">
        <v>11</v>
      </c>
      <c r="E60" s="5">
        <v>732023.8</v>
      </c>
      <c r="F60" s="5">
        <v>12</v>
      </c>
      <c r="G60" s="5">
        <v>734146.41999999993</v>
      </c>
      <c r="H60" s="5">
        <v>1</v>
      </c>
      <c r="I60" s="5" t="s">
        <v>204</v>
      </c>
      <c r="J60" s="5">
        <v>450000.00000000006</v>
      </c>
      <c r="K60" s="5" t="s">
        <v>205</v>
      </c>
    </row>
    <row r="61">
      <c r="A61" s="0" t="s">
        <v>206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 t="s">
        <v>71</v>
      </c>
      <c r="J61" s="5">
        <v>0</v>
      </c>
      <c r="K61" s="5" t="s">
        <v>71</v>
      </c>
    </row>
    <row r="62">
      <c r="A62" s="0" t="s">
        <v>207</v>
      </c>
      <c r="B62" s="5">
        <v>3</v>
      </c>
      <c r="C62" s="5">
        <v>4180.8499999999995</v>
      </c>
      <c r="D62" s="5">
        <v>42</v>
      </c>
      <c r="E62" s="5">
        <v>393520.49</v>
      </c>
      <c r="F62" s="5">
        <v>45</v>
      </c>
      <c r="G62" s="5">
        <v>397701.33999999997</v>
      </c>
      <c r="H62" s="5">
        <v>2</v>
      </c>
      <c r="I62" s="5" t="s">
        <v>208</v>
      </c>
      <c r="J62" s="5">
        <v>348000</v>
      </c>
      <c r="K62" s="5" t="s">
        <v>209</v>
      </c>
    </row>
    <row r="63">
      <c r="A63" s="0" t="s">
        <v>210</v>
      </c>
      <c r="B63" s="5">
        <v>1</v>
      </c>
      <c r="C63" s="5">
        <v>285.9</v>
      </c>
      <c r="D63" s="5">
        <v>23</v>
      </c>
      <c r="E63" s="5">
        <v>226155.72</v>
      </c>
      <c r="F63" s="5">
        <v>24</v>
      </c>
      <c r="G63" s="5">
        <v>226441.62</v>
      </c>
      <c r="H63" s="5">
        <v>1</v>
      </c>
      <c r="I63" s="5" t="s">
        <v>211</v>
      </c>
      <c r="J63" s="5">
        <v>123000</v>
      </c>
      <c r="K63" s="5" t="s">
        <v>212</v>
      </c>
    </row>
    <row r="64">
      <c r="A64" s="0" t="s">
        <v>213</v>
      </c>
      <c r="B64" s="5">
        <v>2</v>
      </c>
      <c r="C64" s="5">
        <v>3894.9500000000003</v>
      </c>
      <c r="D64" s="5">
        <v>19</v>
      </c>
      <c r="E64" s="5">
        <v>167364.77</v>
      </c>
      <c r="F64" s="5">
        <v>21</v>
      </c>
      <c r="G64" s="5">
        <v>171259.72</v>
      </c>
      <c r="H64" s="5">
        <v>1</v>
      </c>
      <c r="I64" s="5" t="s">
        <v>201</v>
      </c>
      <c r="J64" s="5">
        <v>225000.00000000003</v>
      </c>
      <c r="K64" s="5" t="s">
        <v>214</v>
      </c>
    </row>
    <row r="65">
      <c r="A65" s="0" t="s">
        <v>215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 t="s">
        <v>71</v>
      </c>
      <c r="J65" s="5">
        <v>0</v>
      </c>
      <c r="K65" s="5" t="s">
        <v>71</v>
      </c>
    </row>
    <row r="66">
      <c r="A66" s="0" t="s">
        <v>216</v>
      </c>
      <c r="B66" s="5">
        <v>1</v>
      </c>
      <c r="C66" s="5">
        <v>8523.56</v>
      </c>
      <c r="D66" s="5">
        <v>311</v>
      </c>
      <c r="E66" s="5">
        <v>524135.30000000005</v>
      </c>
      <c r="F66" s="5">
        <v>312</v>
      </c>
      <c r="G66" s="5">
        <v>532658.86</v>
      </c>
      <c r="H66" s="5">
        <v>3</v>
      </c>
      <c r="I66" s="5" t="s">
        <v>217</v>
      </c>
      <c r="J66" s="5">
        <v>582450</v>
      </c>
      <c r="K66" s="5" t="s">
        <v>218</v>
      </c>
    </row>
    <row r="67">
      <c r="A67" s="0" t="s">
        <v>219</v>
      </c>
      <c r="B67" s="5">
        <v>1</v>
      </c>
      <c r="C67" s="5">
        <v>8523.56</v>
      </c>
      <c r="D67" s="5">
        <v>8</v>
      </c>
      <c r="E67" s="5">
        <v>98683.58</v>
      </c>
      <c r="F67" s="5">
        <v>9</v>
      </c>
      <c r="G67" s="5">
        <v>107207.14000000001</v>
      </c>
      <c r="H67" s="5">
        <v>1</v>
      </c>
      <c r="I67" s="5" t="s">
        <v>220</v>
      </c>
      <c r="J67" s="5">
        <v>360000</v>
      </c>
      <c r="K67" s="5" t="s">
        <v>221</v>
      </c>
    </row>
    <row r="68">
      <c r="A68" s="0" t="s">
        <v>222</v>
      </c>
      <c r="B68" s="5">
        <v>0</v>
      </c>
      <c r="C68" s="5">
        <v>0</v>
      </c>
      <c r="D68" s="5">
        <v>24</v>
      </c>
      <c r="E68" s="5">
        <v>360407.69</v>
      </c>
      <c r="F68" s="5">
        <v>24</v>
      </c>
      <c r="G68" s="5">
        <v>360407.69</v>
      </c>
      <c r="H68" s="5">
        <v>1</v>
      </c>
      <c r="I68" s="5" t="s">
        <v>211</v>
      </c>
      <c r="J68" s="5">
        <v>132450</v>
      </c>
      <c r="K68" s="5" t="s">
        <v>223</v>
      </c>
    </row>
    <row r="69">
      <c r="A69" s="0" t="s">
        <v>224</v>
      </c>
      <c r="B69" s="5">
        <v>0</v>
      </c>
      <c r="C69" s="5">
        <v>0</v>
      </c>
      <c r="D69" s="5">
        <v>279</v>
      </c>
      <c r="E69" s="5">
        <v>65044.03</v>
      </c>
      <c r="F69" s="5">
        <v>279</v>
      </c>
      <c r="G69" s="5">
        <v>65044.03</v>
      </c>
      <c r="H69" s="5">
        <v>1</v>
      </c>
      <c r="I69" s="5" t="s">
        <v>225</v>
      </c>
      <c r="J69" s="5">
        <v>90000</v>
      </c>
      <c r="K69" s="5" t="s">
        <v>226</v>
      </c>
    </row>
    <row r="70">
      <c r="A70" s="0" t="s">
        <v>227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 t="s">
        <v>71</v>
      </c>
      <c r="J70" s="5">
        <v>0</v>
      </c>
      <c r="K70" s="5" t="s">
        <v>71</v>
      </c>
    </row>
    <row r="71">
      <c r="A71" s="0" t="s">
        <v>228</v>
      </c>
      <c r="B71" s="5">
        <v>0</v>
      </c>
      <c r="C71" s="5">
        <v>0</v>
      </c>
      <c r="D71" s="5">
        <v>1176</v>
      </c>
      <c r="E71" s="5">
        <v>235852.41999999998</v>
      </c>
      <c r="F71" s="5">
        <v>1176</v>
      </c>
      <c r="G71" s="5">
        <v>235852.41999999998</v>
      </c>
      <c r="H71" s="5">
        <v>3</v>
      </c>
      <c r="I71" s="5" t="s">
        <v>229</v>
      </c>
      <c r="J71" s="5">
        <v>140000</v>
      </c>
      <c r="K71" s="5" t="s">
        <v>230</v>
      </c>
    </row>
    <row r="72">
      <c r="A72" s="0" t="s">
        <v>231</v>
      </c>
      <c r="B72" s="5">
        <v>0</v>
      </c>
      <c r="C72" s="5">
        <v>0</v>
      </c>
      <c r="D72" s="5">
        <v>1142</v>
      </c>
      <c r="E72" s="5">
        <v>119077.5</v>
      </c>
      <c r="F72" s="5">
        <v>1142</v>
      </c>
      <c r="G72" s="5">
        <v>119077.5</v>
      </c>
      <c r="H72" s="5">
        <v>1</v>
      </c>
      <c r="I72" s="5" t="s">
        <v>232</v>
      </c>
      <c r="J72" s="5">
        <v>80000</v>
      </c>
      <c r="K72" s="5" t="s">
        <v>233</v>
      </c>
    </row>
    <row r="73">
      <c r="A73" s="0" t="s">
        <v>234</v>
      </c>
      <c r="B73" s="5">
        <v>0</v>
      </c>
      <c r="C73" s="5">
        <v>0</v>
      </c>
      <c r="D73" s="5">
        <v>10</v>
      </c>
      <c r="E73" s="5">
        <v>16980</v>
      </c>
      <c r="F73" s="5">
        <v>10</v>
      </c>
      <c r="G73" s="5">
        <v>16980</v>
      </c>
      <c r="H73" s="5">
        <v>1</v>
      </c>
      <c r="I73" s="5" t="s">
        <v>113</v>
      </c>
      <c r="J73" s="5">
        <v>60000</v>
      </c>
      <c r="K73" s="5" t="s">
        <v>235</v>
      </c>
    </row>
    <row r="74">
      <c r="A74" s="0" t="s">
        <v>236</v>
      </c>
      <c r="B74" s="5">
        <v>0</v>
      </c>
      <c r="C74" s="5">
        <v>0</v>
      </c>
      <c r="D74" s="5">
        <v>24</v>
      </c>
      <c r="E74" s="5">
        <v>99794.919999999984</v>
      </c>
      <c r="F74" s="5">
        <v>24</v>
      </c>
      <c r="G74" s="5">
        <v>99794.919999999984</v>
      </c>
      <c r="H74" s="5">
        <v>1</v>
      </c>
      <c r="I74" s="5" t="s">
        <v>211</v>
      </c>
      <c r="J74" s="5">
        <v>0</v>
      </c>
      <c r="K74" s="5" t="s">
        <v>71</v>
      </c>
    </row>
    <row r="75">
      <c r="A75" s="0" t="s">
        <v>237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 t="s">
        <v>71</v>
      </c>
      <c r="J75" s="5">
        <v>0</v>
      </c>
      <c r="K75" s="5" t="s">
        <v>71</v>
      </c>
    </row>
    <row r="76">
      <c r="A76" s="0" t="s">
        <v>238</v>
      </c>
      <c r="B76" s="5">
        <v>0</v>
      </c>
      <c r="C76" s="5">
        <v>0</v>
      </c>
      <c r="D76" s="5">
        <v>75699</v>
      </c>
      <c r="E76" s="5">
        <v>379014.82</v>
      </c>
      <c r="F76" s="5">
        <v>75699</v>
      </c>
      <c r="G76" s="5">
        <v>379014.82</v>
      </c>
      <c r="H76" s="5">
        <v>1</v>
      </c>
      <c r="I76" s="5" t="s">
        <v>239</v>
      </c>
      <c r="J76" s="5">
        <v>180000</v>
      </c>
      <c r="K76" s="5" t="s">
        <v>240</v>
      </c>
    </row>
    <row r="77">
      <c r="A77" s="0" t="s">
        <v>241</v>
      </c>
      <c r="B77" s="5">
        <v>1</v>
      </c>
      <c r="C77" s="5">
        <v>19765</v>
      </c>
      <c r="D77" s="5">
        <v>104</v>
      </c>
      <c r="E77" s="5">
        <v>392994.22</v>
      </c>
      <c r="F77" s="5">
        <v>104.99999999999999</v>
      </c>
      <c r="G77" s="5">
        <v>412759.22000000003</v>
      </c>
      <c r="H77" s="5">
        <v>1</v>
      </c>
      <c r="I77" s="5" t="s">
        <v>242</v>
      </c>
      <c r="J77" s="5">
        <v>108000</v>
      </c>
      <c r="K77" s="5" t="s">
        <v>243</v>
      </c>
    </row>
    <row r="78">
      <c r="A78" s="0" t="s">
        <v>244</v>
      </c>
      <c r="B78" s="5">
        <v>61</v>
      </c>
      <c r="C78" s="5">
        <v>21169</v>
      </c>
      <c r="D78" s="5">
        <v>1615</v>
      </c>
      <c r="E78" s="5">
        <v>996793.2</v>
      </c>
      <c r="F78" s="5">
        <v>1675.9999999999998</v>
      </c>
      <c r="G78" s="5">
        <v>1017962.2</v>
      </c>
      <c r="H78" s="5">
        <v>1</v>
      </c>
      <c r="I78" s="5" t="s">
        <v>245</v>
      </c>
      <c r="J78" s="5">
        <v>1930000</v>
      </c>
      <c r="K78" s="5" t="s">
        <v>246</v>
      </c>
    </row>
    <row r="79">
      <c r="A79" s="0" t="s">
        <v>247</v>
      </c>
      <c r="B79" s="5">
        <v>2</v>
      </c>
      <c r="C79" s="5">
        <v>174.37</v>
      </c>
      <c r="D79" s="5">
        <v>30</v>
      </c>
      <c r="E79" s="5">
        <v>53098.73</v>
      </c>
      <c r="F79" s="5">
        <v>32</v>
      </c>
      <c r="G79" s="5">
        <v>53273.1</v>
      </c>
      <c r="H79" s="5">
        <v>1</v>
      </c>
      <c r="I79" s="5" t="s">
        <v>248</v>
      </c>
      <c r="J79" s="5">
        <v>225000.00000000003</v>
      </c>
      <c r="K79" s="5" t="s">
        <v>249</v>
      </c>
    </row>
    <row r="80">
      <c r="A80" s="0" t="s">
        <v>250</v>
      </c>
      <c r="B80" s="5">
        <v>0</v>
      </c>
      <c r="C80" s="5">
        <v>0</v>
      </c>
      <c r="D80" s="5">
        <v>1</v>
      </c>
      <c r="E80" s="5">
        <v>27050</v>
      </c>
      <c r="F80" s="5">
        <v>1</v>
      </c>
      <c r="G80" s="5">
        <v>27050</v>
      </c>
      <c r="H80" s="5">
        <v>1</v>
      </c>
      <c r="I80" s="5" t="s">
        <v>110</v>
      </c>
      <c r="J80" s="5">
        <v>75000</v>
      </c>
      <c r="K80" s="5" t="s">
        <v>251</v>
      </c>
    </row>
    <row r="81">
      <c r="A81" s="0" t="s">
        <v>252</v>
      </c>
      <c r="B81" s="5">
        <v>0</v>
      </c>
      <c r="C81" s="5">
        <v>0</v>
      </c>
      <c r="D81" s="5">
        <v>8</v>
      </c>
      <c r="E81" s="5">
        <v>1925250</v>
      </c>
      <c r="F81" s="5">
        <v>8</v>
      </c>
      <c r="G81" s="5">
        <v>1925250</v>
      </c>
      <c r="H81" s="5">
        <v>1</v>
      </c>
      <c r="I81" s="5" t="s">
        <v>253</v>
      </c>
      <c r="J81" s="5">
        <v>1458000</v>
      </c>
      <c r="K81" s="5" t="s">
        <v>254</v>
      </c>
    </row>
    <row r="82">
      <c r="A82" s="0" t="s">
        <v>255</v>
      </c>
      <c r="B82" s="5">
        <v>1</v>
      </c>
      <c r="C82" s="5">
        <v>11904.75</v>
      </c>
      <c r="D82" s="5">
        <v>166</v>
      </c>
      <c r="E82" s="5">
        <v>2045153.73</v>
      </c>
      <c r="F82" s="5">
        <v>167</v>
      </c>
      <c r="G82" s="5">
        <v>2057058.48</v>
      </c>
      <c r="H82" s="5">
        <v>1</v>
      </c>
      <c r="I82" s="5" t="s">
        <v>256</v>
      </c>
      <c r="J82" s="5">
        <v>1666000</v>
      </c>
      <c r="K82" s="5" t="s">
        <v>257</v>
      </c>
    </row>
    <row r="83">
      <c r="A83" s="0" t="s">
        <v>258</v>
      </c>
      <c r="B83" s="5">
        <v>0</v>
      </c>
      <c r="C83" s="5">
        <v>0</v>
      </c>
      <c r="D83" s="5">
        <v>6</v>
      </c>
      <c r="E83" s="5">
        <v>341946.45999999996</v>
      </c>
      <c r="F83" s="5">
        <v>6</v>
      </c>
      <c r="G83" s="5">
        <v>341946.45999999996</v>
      </c>
      <c r="H83" s="5">
        <v>1</v>
      </c>
      <c r="I83" s="5" t="s">
        <v>259</v>
      </c>
      <c r="J83" s="5">
        <v>630000</v>
      </c>
      <c r="K83" s="5" t="s">
        <v>260</v>
      </c>
    </row>
    <row r="84">
      <c r="A84" s="0" t="s">
        <v>261</v>
      </c>
      <c r="B84" s="5">
        <v>0</v>
      </c>
      <c r="C84" s="5">
        <v>0</v>
      </c>
      <c r="D84" s="5">
        <v>24515</v>
      </c>
      <c r="E84" s="5">
        <v>48449.999999999993</v>
      </c>
      <c r="F84" s="5">
        <v>24515</v>
      </c>
      <c r="G84" s="5">
        <v>48449.999999999993</v>
      </c>
      <c r="H84" s="5">
        <v>1</v>
      </c>
      <c r="I84" s="5" t="s">
        <v>262</v>
      </c>
      <c r="J84" s="5">
        <v>105000</v>
      </c>
      <c r="K84" s="5" t="s">
        <v>263</v>
      </c>
    </row>
    <row r="85">
      <c r="A85" s="0" t="s">
        <v>264</v>
      </c>
      <c r="B85" s="5">
        <v>4</v>
      </c>
      <c r="C85" s="5">
        <v>1800</v>
      </c>
      <c r="D85" s="5">
        <v>724</v>
      </c>
      <c r="E85" s="5">
        <v>144678.7</v>
      </c>
      <c r="F85" s="5">
        <v>728</v>
      </c>
      <c r="G85" s="5">
        <v>146478.7</v>
      </c>
      <c r="H85" s="5">
        <v>1</v>
      </c>
      <c r="I85" s="5" t="s">
        <v>265</v>
      </c>
      <c r="J85" s="5">
        <v>0</v>
      </c>
      <c r="K85" s="5" t="s">
        <v>71</v>
      </c>
    </row>
    <row r="86">
      <c r="A86" s="0" t="s">
        <v>266</v>
      </c>
      <c r="B86" s="5">
        <v>15</v>
      </c>
      <c r="C86" s="5">
        <v>8647.66</v>
      </c>
      <c r="D86" s="5">
        <v>12216.999999999998</v>
      </c>
      <c r="E86" s="5">
        <v>785435.48</v>
      </c>
      <c r="F86" s="5">
        <v>12232</v>
      </c>
      <c r="G86" s="5">
        <v>794083.14</v>
      </c>
      <c r="H86" s="5">
        <v>1</v>
      </c>
      <c r="I86" s="5" t="s">
        <v>267</v>
      </c>
      <c r="J86" s="5">
        <v>185000</v>
      </c>
      <c r="K86" s="5" t="s">
        <v>268</v>
      </c>
    </row>
    <row r="87">
      <c r="A87" s="0" t="s">
        <v>269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 t="s">
        <v>71</v>
      </c>
      <c r="J87" s="5">
        <v>0</v>
      </c>
      <c r="K87" s="5" t="s">
        <v>71</v>
      </c>
    </row>
    <row r="88">
      <c r="A88" s="0" t="s">
        <v>83</v>
      </c>
      <c r="B88" s="5">
        <v>1850</v>
      </c>
      <c r="C88" s="5">
        <v>87146.36</v>
      </c>
      <c r="D88" s="5">
        <v>822.90000000000009</v>
      </c>
      <c r="E88" s="5">
        <v>12943428.419999998</v>
      </c>
      <c r="F88" s="5">
        <v>2672.9</v>
      </c>
      <c r="G88" s="5">
        <v>13030574.78</v>
      </c>
      <c r="H88" s="5">
        <v>24</v>
      </c>
      <c r="I88" s="5" t="s">
        <v>84</v>
      </c>
      <c r="J88" s="5">
        <v>9319500</v>
      </c>
      <c r="K88" s="5" t="s">
        <v>85</v>
      </c>
    </row>
    <row r="89">
      <c r="A89" s="0" t="s">
        <v>270</v>
      </c>
      <c r="B89" s="5">
        <v>5</v>
      </c>
      <c r="C89" s="5">
        <v>35349.56</v>
      </c>
      <c r="D89" s="5">
        <v>587</v>
      </c>
      <c r="E89" s="5">
        <v>8190754.76</v>
      </c>
      <c r="F89" s="5">
        <v>592</v>
      </c>
      <c r="G89" s="5">
        <v>8226104.3199999994</v>
      </c>
      <c r="H89" s="5">
        <v>3</v>
      </c>
      <c r="I89" s="5" t="s">
        <v>271</v>
      </c>
      <c r="J89" s="5">
        <v>6784500</v>
      </c>
      <c r="K89" s="5" t="s">
        <v>272</v>
      </c>
    </row>
    <row r="90">
      <c r="A90" s="0" t="s">
        <v>273</v>
      </c>
      <c r="B90" s="5">
        <v>0</v>
      </c>
      <c r="C90" s="5">
        <v>0</v>
      </c>
      <c r="D90" s="5">
        <v>100.99999999999999</v>
      </c>
      <c r="E90" s="5">
        <v>1188025</v>
      </c>
      <c r="F90" s="5">
        <v>100.99999999999999</v>
      </c>
      <c r="G90" s="5">
        <v>1188025</v>
      </c>
      <c r="H90" s="5">
        <v>1</v>
      </c>
      <c r="I90" s="5" t="s">
        <v>274</v>
      </c>
      <c r="J90" s="5">
        <v>1170000</v>
      </c>
      <c r="K90" s="5" t="s">
        <v>275</v>
      </c>
    </row>
    <row r="91">
      <c r="A91" s="0" t="s">
        <v>276</v>
      </c>
      <c r="B91" s="5">
        <v>37</v>
      </c>
      <c r="C91" s="5">
        <v>47519.560000000005</v>
      </c>
      <c r="D91" s="5">
        <v>494</v>
      </c>
      <c r="E91" s="5">
        <v>6321252.3900000006</v>
      </c>
      <c r="F91" s="5">
        <v>531</v>
      </c>
      <c r="G91" s="5">
        <v>6368771.9500000011</v>
      </c>
      <c r="H91" s="5">
        <v>1</v>
      </c>
      <c r="I91" s="5" t="s">
        <v>277</v>
      </c>
      <c r="J91" s="5">
        <v>4934000</v>
      </c>
      <c r="K91" s="5" t="s">
        <v>278</v>
      </c>
    </row>
    <row r="92">
      <c r="A92" s="0" t="s">
        <v>279</v>
      </c>
      <c r="B92" s="5">
        <v>-32</v>
      </c>
      <c r="C92" s="5">
        <v>-12169.999999999998</v>
      </c>
      <c r="D92" s="5">
        <v>-8</v>
      </c>
      <c r="E92" s="5">
        <v>681477.37</v>
      </c>
      <c r="F92" s="5">
        <v>-40</v>
      </c>
      <c r="G92" s="5">
        <v>669307.37</v>
      </c>
      <c r="H92" s="5">
        <v>1</v>
      </c>
      <c r="I92" s="5" t="s">
        <v>280</v>
      </c>
      <c r="J92" s="5">
        <v>680500</v>
      </c>
      <c r="K92" s="5" t="s">
        <v>281</v>
      </c>
    </row>
    <row r="93">
      <c r="A93" s="0" t="s">
        <v>282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 t="s">
        <v>71</v>
      </c>
      <c r="J93" s="5">
        <v>0</v>
      </c>
      <c r="K93" s="5" t="s">
        <v>71</v>
      </c>
    </row>
    <row r="94">
      <c r="A94" s="0" t="s">
        <v>283</v>
      </c>
      <c r="B94" s="5">
        <v>0</v>
      </c>
      <c r="C94" s="5">
        <v>0</v>
      </c>
      <c r="D94" s="5">
        <v>886.99999999999989</v>
      </c>
      <c r="E94" s="5">
        <v>894421.88000000012</v>
      </c>
      <c r="F94" s="5">
        <v>886.99999999999989</v>
      </c>
      <c r="G94" s="5">
        <v>894421.88000000012</v>
      </c>
      <c r="H94" s="5">
        <v>2</v>
      </c>
      <c r="I94" s="5" t="s">
        <v>284</v>
      </c>
      <c r="J94" s="5">
        <v>1815000</v>
      </c>
      <c r="K94" s="5" t="s">
        <v>285</v>
      </c>
    </row>
    <row r="95">
      <c r="A95" s="0" t="s">
        <v>286</v>
      </c>
      <c r="B95" s="5">
        <v>0</v>
      </c>
      <c r="C95" s="5">
        <v>0</v>
      </c>
      <c r="D95" s="5">
        <v>21</v>
      </c>
      <c r="E95" s="5">
        <v>142437.52000000002</v>
      </c>
      <c r="F95" s="5">
        <v>21</v>
      </c>
      <c r="G95" s="5">
        <v>142437.52000000002</v>
      </c>
      <c r="H95" s="5">
        <v>1</v>
      </c>
      <c r="I95" s="5" t="s">
        <v>201</v>
      </c>
      <c r="J95" s="5">
        <v>900000.00000000012</v>
      </c>
      <c r="K95" s="5" t="s">
        <v>287</v>
      </c>
    </row>
    <row r="96">
      <c r="A96" s="0" t="s">
        <v>288</v>
      </c>
      <c r="B96" s="5">
        <v>0</v>
      </c>
      <c r="C96" s="5">
        <v>0</v>
      </c>
      <c r="D96" s="5">
        <v>866</v>
      </c>
      <c r="E96" s="5">
        <v>751984.36</v>
      </c>
      <c r="F96" s="5">
        <v>866</v>
      </c>
      <c r="G96" s="5">
        <v>751984.36</v>
      </c>
      <c r="H96" s="5">
        <v>1</v>
      </c>
      <c r="I96" s="5" t="s">
        <v>289</v>
      </c>
      <c r="J96" s="5">
        <v>915000</v>
      </c>
      <c r="K96" s="5" t="s">
        <v>290</v>
      </c>
    </row>
    <row r="97">
      <c r="A97" s="0" t="s">
        <v>291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 t="s">
        <v>71</v>
      </c>
      <c r="J97" s="5">
        <v>0</v>
      </c>
      <c r="K97" s="5" t="s">
        <v>71</v>
      </c>
    </row>
    <row r="98">
      <c r="A98" s="0" t="s">
        <v>292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1</v>
      </c>
      <c r="I98" s="5" t="s">
        <v>71</v>
      </c>
      <c r="J98" s="5">
        <v>0</v>
      </c>
      <c r="K98" s="5" t="s">
        <v>71</v>
      </c>
    </row>
    <row r="99">
      <c r="A99" s="0" t="s">
        <v>293</v>
      </c>
      <c r="B99" s="5">
        <v>1842.0000000000002</v>
      </c>
      <c r="C99" s="5">
        <v>49996.8</v>
      </c>
      <c r="D99" s="5">
        <v>12530</v>
      </c>
      <c r="E99" s="5">
        <v>1924589.62</v>
      </c>
      <c r="F99" s="5">
        <v>14372</v>
      </c>
      <c r="G99" s="5">
        <v>1974586.4200000002</v>
      </c>
      <c r="H99" s="5">
        <v>2</v>
      </c>
      <c r="I99" s="5" t="s">
        <v>294</v>
      </c>
      <c r="J99" s="5">
        <v>300000</v>
      </c>
      <c r="K99" s="5" t="s">
        <v>295</v>
      </c>
    </row>
    <row r="100">
      <c r="A100" s="0" t="s">
        <v>296</v>
      </c>
      <c r="B100" s="5">
        <v>1842.0000000000002</v>
      </c>
      <c r="C100" s="5">
        <v>49996.8</v>
      </c>
      <c r="D100" s="5">
        <v>12530</v>
      </c>
      <c r="E100" s="5">
        <v>1924589.62</v>
      </c>
      <c r="F100" s="5">
        <v>14372</v>
      </c>
      <c r="G100" s="5">
        <v>1974586.4200000002</v>
      </c>
      <c r="H100" s="5">
        <v>1</v>
      </c>
      <c r="I100" s="5" t="s">
        <v>297</v>
      </c>
      <c r="J100" s="5">
        <v>300000</v>
      </c>
      <c r="K100" s="5" t="s">
        <v>295</v>
      </c>
    </row>
    <row r="101">
      <c r="A101" s="0" t="s">
        <v>298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1</v>
      </c>
      <c r="I101" s="5" t="s">
        <v>71</v>
      </c>
      <c r="J101" s="5">
        <v>0</v>
      </c>
      <c r="K101" s="5" t="s">
        <v>71</v>
      </c>
    </row>
    <row r="102">
      <c r="A102" s="0" t="s">
        <v>299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 t="s">
        <v>71</v>
      </c>
      <c r="J102" s="5">
        <v>0</v>
      </c>
      <c r="K102" s="5" t="s">
        <v>71</v>
      </c>
    </row>
    <row r="103">
      <c r="A103" s="0" t="s">
        <v>300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2</v>
      </c>
      <c r="I103" s="5" t="s">
        <v>71</v>
      </c>
      <c r="J103" s="5">
        <v>0</v>
      </c>
      <c r="K103" s="5" t="s">
        <v>71</v>
      </c>
    </row>
    <row r="104">
      <c r="A104" s="0" t="s">
        <v>301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1</v>
      </c>
      <c r="I104" s="5" t="s">
        <v>71</v>
      </c>
      <c r="J104" s="5">
        <v>0</v>
      </c>
      <c r="K104" s="5" t="s">
        <v>71</v>
      </c>
    </row>
    <row r="105">
      <c r="A105" s="0" t="s">
        <v>302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1</v>
      </c>
      <c r="I105" s="5" t="s">
        <v>71</v>
      </c>
      <c r="J105" s="5">
        <v>0</v>
      </c>
      <c r="K105" s="5" t="s">
        <v>71</v>
      </c>
    </row>
    <row r="106">
      <c r="A106" s="0" t="s">
        <v>303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 t="s">
        <v>71</v>
      </c>
      <c r="J106" s="5">
        <v>0</v>
      </c>
      <c r="K106" s="5" t="s">
        <v>71</v>
      </c>
    </row>
    <row r="107">
      <c r="A107" s="0" t="s">
        <v>304</v>
      </c>
      <c r="B107" s="5">
        <v>3</v>
      </c>
      <c r="C107" s="5">
        <v>1800</v>
      </c>
      <c r="D107" s="5">
        <v>807.99999999999989</v>
      </c>
      <c r="E107" s="5">
        <v>252599.1</v>
      </c>
      <c r="F107" s="5">
        <v>811</v>
      </c>
      <c r="G107" s="5">
        <v>254399.10000000003</v>
      </c>
      <c r="H107" s="5">
        <v>1</v>
      </c>
      <c r="I107" s="5" t="s">
        <v>305</v>
      </c>
      <c r="J107" s="5">
        <v>420000</v>
      </c>
      <c r="K107" s="5" t="s">
        <v>306</v>
      </c>
    </row>
    <row r="108">
      <c r="A108" s="0" t="s">
        <v>307</v>
      </c>
      <c r="B108" s="5">
        <v>0</v>
      </c>
      <c r="C108" s="5">
        <v>0</v>
      </c>
      <c r="D108" s="5">
        <v>1</v>
      </c>
      <c r="E108" s="5">
        <v>-13490.8</v>
      </c>
      <c r="F108" s="5">
        <v>1</v>
      </c>
      <c r="G108" s="5">
        <v>-13490.8</v>
      </c>
      <c r="H108" s="5">
        <v>3</v>
      </c>
      <c r="I108" s="5" t="s">
        <v>308</v>
      </c>
      <c r="J108" s="5">
        <v>0</v>
      </c>
      <c r="K108" s="5" t="s">
        <v>71</v>
      </c>
    </row>
    <row r="109">
      <c r="A109" s="0" t="s">
        <v>309</v>
      </c>
      <c r="B109" s="5">
        <v>0</v>
      </c>
      <c r="C109" s="5">
        <v>0</v>
      </c>
      <c r="D109" s="5">
        <v>1</v>
      </c>
      <c r="E109" s="5">
        <v>-13490.8</v>
      </c>
      <c r="F109" s="5">
        <v>1</v>
      </c>
      <c r="G109" s="5">
        <v>-13490.8</v>
      </c>
      <c r="H109" s="5">
        <v>1</v>
      </c>
      <c r="I109" s="5" t="s">
        <v>110</v>
      </c>
      <c r="J109" s="5">
        <v>0</v>
      </c>
      <c r="K109" s="5" t="s">
        <v>71</v>
      </c>
    </row>
    <row r="110">
      <c r="A110" s="0" t="s">
        <v>310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</v>
      </c>
      <c r="I110" s="5" t="s">
        <v>71</v>
      </c>
      <c r="J110" s="5">
        <v>0</v>
      </c>
      <c r="K110" s="5" t="s">
        <v>71</v>
      </c>
    </row>
    <row r="111">
      <c r="A111" s="0" t="s">
        <v>311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1</v>
      </c>
      <c r="I111" s="5" t="s">
        <v>71</v>
      </c>
      <c r="J111" s="5">
        <v>0</v>
      </c>
      <c r="K111" s="5" t="s">
        <v>71</v>
      </c>
    </row>
    <row r="112">
      <c r="A112" s="0" t="s">
        <v>312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 t="s">
        <v>71</v>
      </c>
      <c r="J112" s="5">
        <v>0</v>
      </c>
      <c r="K112" s="5" t="s">
        <v>71</v>
      </c>
    </row>
    <row r="113">
      <c r="A113" s="0" t="s">
        <v>313</v>
      </c>
      <c r="B113" s="5">
        <v>0</v>
      </c>
      <c r="C113" s="5">
        <v>0</v>
      </c>
      <c r="D113" s="5">
        <v>-4782</v>
      </c>
      <c r="E113" s="5">
        <v>-50975</v>
      </c>
      <c r="F113" s="5">
        <v>-4782</v>
      </c>
      <c r="G113" s="5">
        <v>-50975</v>
      </c>
      <c r="H113" s="5">
        <v>1</v>
      </c>
      <c r="I113" s="5" t="s">
        <v>314</v>
      </c>
      <c r="J113" s="5">
        <v>0</v>
      </c>
      <c r="K113" s="5" t="s">
        <v>71</v>
      </c>
    </row>
    <row r="114">
      <c r="A114" s="0" t="s">
        <v>315</v>
      </c>
      <c r="B114" s="5">
        <v>0</v>
      </c>
      <c r="C114" s="5">
        <v>0</v>
      </c>
      <c r="D114" s="5">
        <v>3778.6</v>
      </c>
      <c r="E114" s="5">
        <v>68097.099999999991</v>
      </c>
      <c r="F114" s="5">
        <v>3778.6</v>
      </c>
      <c r="G114" s="5">
        <v>68097.099999999991</v>
      </c>
      <c r="H114" s="5">
        <v>2</v>
      </c>
      <c r="I114" s="5" t="s">
        <v>316</v>
      </c>
      <c r="J114" s="5">
        <v>0</v>
      </c>
      <c r="K114" s="5" t="s">
        <v>71</v>
      </c>
    </row>
    <row r="115">
      <c r="A115" s="0" t="s">
        <v>317</v>
      </c>
      <c r="B115" s="5">
        <v>0</v>
      </c>
      <c r="C115" s="5">
        <v>0</v>
      </c>
      <c r="D115" s="5">
        <v>3778.6</v>
      </c>
      <c r="E115" s="5">
        <v>68097.099999999991</v>
      </c>
      <c r="F115" s="5">
        <v>3778.6</v>
      </c>
      <c r="G115" s="5">
        <v>68097.099999999991</v>
      </c>
      <c r="H115" s="5">
        <v>1</v>
      </c>
      <c r="I115" s="5" t="s">
        <v>318</v>
      </c>
      <c r="J115" s="5">
        <v>0</v>
      </c>
      <c r="K115" s="5" t="s">
        <v>71</v>
      </c>
    </row>
    <row r="116">
      <c r="A116" s="0" t="s">
        <v>319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1</v>
      </c>
      <c r="I116" s="5" t="s">
        <v>71</v>
      </c>
      <c r="J116" s="5">
        <v>0</v>
      </c>
      <c r="K116" s="5" t="s">
        <v>71</v>
      </c>
    </row>
    <row r="117">
      <c r="A117" s="0" t="s">
        <v>320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 t="s">
        <v>71</v>
      </c>
      <c r="J117" s="5">
        <v>0</v>
      </c>
      <c r="K117" s="5" t="s">
        <v>71</v>
      </c>
    </row>
    <row r="118">
      <c r="A118" s="0" t="s">
        <v>321</v>
      </c>
      <c r="B118" s="5">
        <v>0</v>
      </c>
      <c r="C118" s="5">
        <v>0</v>
      </c>
      <c r="D118" s="5">
        <v>-9354</v>
      </c>
      <c r="E118" s="5">
        <v>351728.02</v>
      </c>
      <c r="F118" s="5">
        <v>-9354</v>
      </c>
      <c r="G118" s="5">
        <v>351728.02</v>
      </c>
      <c r="H118" s="5">
        <v>2</v>
      </c>
      <c r="I118" s="5" t="s">
        <v>322</v>
      </c>
      <c r="J118" s="5">
        <v>0</v>
      </c>
      <c r="K118" s="5" t="s">
        <v>71</v>
      </c>
    </row>
    <row r="119">
      <c r="A119" s="0" t="s">
        <v>323</v>
      </c>
      <c r="B119" s="5">
        <v>0</v>
      </c>
      <c r="C119" s="5">
        <v>0</v>
      </c>
      <c r="D119" s="5">
        <v>-9354</v>
      </c>
      <c r="E119" s="5">
        <v>351728.02</v>
      </c>
      <c r="F119" s="5">
        <v>-9354</v>
      </c>
      <c r="G119" s="5">
        <v>351728.02</v>
      </c>
      <c r="H119" s="5">
        <v>1</v>
      </c>
      <c r="I119" s="5" t="s">
        <v>324</v>
      </c>
      <c r="J119" s="5">
        <v>0</v>
      </c>
      <c r="K119" s="5" t="s">
        <v>71</v>
      </c>
    </row>
    <row r="120">
      <c r="A120" s="0" t="s">
        <v>325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1</v>
      </c>
      <c r="I120" s="5" t="s">
        <v>71</v>
      </c>
      <c r="J120" s="5">
        <v>0</v>
      </c>
      <c r="K120" s="5" t="s">
        <v>71</v>
      </c>
    </row>
    <row r="121">
      <c r="A121" s="0" t="s">
        <v>326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 t="s">
        <v>71</v>
      </c>
      <c r="J121" s="5">
        <v>0</v>
      </c>
      <c r="K121" s="5" t="s">
        <v>71</v>
      </c>
    </row>
    <row r="122">
      <c r="A122" s="0" t="s">
        <v>327</v>
      </c>
      <c r="B122" s="5">
        <v>0</v>
      </c>
      <c r="C122" s="5">
        <v>0</v>
      </c>
      <c r="D122" s="5">
        <v>-1416.7</v>
      </c>
      <c r="E122" s="5">
        <v>648956.18</v>
      </c>
      <c r="F122" s="5">
        <v>-1416.7</v>
      </c>
      <c r="G122" s="5">
        <v>648956.18</v>
      </c>
      <c r="H122" s="5">
        <v>2</v>
      </c>
      <c r="I122" s="5" t="s">
        <v>328</v>
      </c>
      <c r="J122" s="5">
        <v>0</v>
      </c>
      <c r="K122" s="5" t="s">
        <v>71</v>
      </c>
    </row>
    <row r="123">
      <c r="A123" s="0" t="s">
        <v>329</v>
      </c>
      <c r="B123" s="5">
        <v>0</v>
      </c>
      <c r="C123" s="5">
        <v>0</v>
      </c>
      <c r="D123" s="5">
        <v>-1416.7</v>
      </c>
      <c r="E123" s="5">
        <v>648956.18</v>
      </c>
      <c r="F123" s="5">
        <v>-1416.7</v>
      </c>
      <c r="G123" s="5">
        <v>648956.18</v>
      </c>
      <c r="H123" s="5">
        <v>1</v>
      </c>
      <c r="I123" s="5" t="s">
        <v>330</v>
      </c>
      <c r="J123" s="5">
        <v>0</v>
      </c>
      <c r="K123" s="5" t="s">
        <v>71</v>
      </c>
    </row>
    <row r="124">
      <c r="A124" s="0" t="s">
        <v>331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1</v>
      </c>
      <c r="I124" s="5" t="s">
        <v>71</v>
      </c>
      <c r="J124" s="5">
        <v>0</v>
      </c>
      <c r="K124" s="5" t="s">
        <v>71</v>
      </c>
    </row>
    <row r="125">
      <c r="A125" s="0" t="s">
        <v>332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 t="s">
        <v>71</v>
      </c>
      <c r="J125" s="5">
        <v>0</v>
      </c>
      <c r="K125" s="5" t="s">
        <v>71</v>
      </c>
    </row>
    <row r="126">
      <c r="A126" s="0" t="s">
        <v>333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2</v>
      </c>
      <c r="I126" s="5" t="s">
        <v>71</v>
      </c>
      <c r="J126" s="5">
        <v>0</v>
      </c>
      <c r="K126" s="5" t="s">
        <v>71</v>
      </c>
    </row>
    <row r="127">
      <c r="A127" s="0" t="s">
        <v>334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1</v>
      </c>
      <c r="I127" s="5" t="s">
        <v>71</v>
      </c>
      <c r="J127" s="5">
        <v>0</v>
      </c>
      <c r="K127" s="5" t="s">
        <v>71</v>
      </c>
    </row>
    <row r="128">
      <c r="A128" s="0" t="s">
        <v>335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1</v>
      </c>
      <c r="I128" s="5" t="s">
        <v>71</v>
      </c>
      <c r="J128" s="5">
        <v>0</v>
      </c>
      <c r="K128" s="5" t="s">
        <v>71</v>
      </c>
    </row>
    <row r="129">
      <c r="A129" s="0" t="s">
        <v>336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 t="s">
        <v>71</v>
      </c>
      <c r="J129" s="5">
        <v>0</v>
      </c>
      <c r="K129" s="5" t="s">
        <v>71</v>
      </c>
    </row>
    <row r="130">
      <c r="A130" s="0" t="s">
        <v>337</v>
      </c>
      <c r="B130" s="5">
        <v>0</v>
      </c>
      <c r="C130" s="5">
        <v>0</v>
      </c>
      <c r="D130" s="5">
        <v>-2216</v>
      </c>
      <c r="E130" s="5">
        <v>-22265</v>
      </c>
      <c r="F130" s="5">
        <v>-2216</v>
      </c>
      <c r="G130" s="5">
        <v>-22265</v>
      </c>
      <c r="H130" s="5">
        <v>1</v>
      </c>
      <c r="I130" s="5" t="s">
        <v>338</v>
      </c>
      <c r="J130" s="5">
        <v>0</v>
      </c>
      <c r="K130" s="5" t="s">
        <v>71</v>
      </c>
    </row>
    <row r="131">
      <c r="A131" s="0" t="s">
        <v>339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 t="s">
        <v>71</v>
      </c>
      <c r="J131" s="5">
        <v>0</v>
      </c>
      <c r="K131" s="5" t="s">
        <v>71</v>
      </c>
    </row>
    <row r="132">
      <c r="A132" s="0" t="s">
        <v>86</v>
      </c>
      <c r="B132" s="5">
        <v>304.7</v>
      </c>
      <c r="C132" s="5">
        <v>11882.754</v>
      </c>
      <c r="D132" s="5">
        <v>1466577.46</v>
      </c>
      <c r="E132" s="5">
        <v>61567940.349999994</v>
      </c>
      <c r="F132" s="5">
        <v>1466882.16</v>
      </c>
      <c r="G132" s="5">
        <v>61579823.104</v>
      </c>
      <c r="H132" s="5">
        <v>179</v>
      </c>
      <c r="I132" s="5" t="s">
        <v>87</v>
      </c>
      <c r="J132" s="5">
        <v>59524001.999999993</v>
      </c>
      <c r="K132" s="5" t="s">
        <v>88</v>
      </c>
    </row>
    <row r="133">
      <c r="A133" s="0" t="s">
        <v>340</v>
      </c>
      <c r="B133" s="5">
        <v>0</v>
      </c>
      <c r="C133" s="5">
        <v>0</v>
      </c>
      <c r="D133" s="5">
        <v>22478</v>
      </c>
      <c r="E133" s="5">
        <v>24021780.35</v>
      </c>
      <c r="F133" s="5">
        <v>22478</v>
      </c>
      <c r="G133" s="5">
        <v>24021780.35</v>
      </c>
      <c r="H133" s="5">
        <v>14</v>
      </c>
      <c r="I133" s="5" t="s">
        <v>341</v>
      </c>
      <c r="J133" s="5">
        <v>24850128</v>
      </c>
      <c r="K133" s="5" t="s">
        <v>342</v>
      </c>
    </row>
    <row r="134">
      <c r="A134" s="0" t="s">
        <v>343</v>
      </c>
      <c r="B134" s="5">
        <v>0</v>
      </c>
      <c r="C134" s="5">
        <v>0</v>
      </c>
      <c r="D134" s="5">
        <v>423</v>
      </c>
      <c r="E134" s="5">
        <v>517216.36</v>
      </c>
      <c r="F134" s="5">
        <v>423</v>
      </c>
      <c r="G134" s="5">
        <v>517216.36</v>
      </c>
      <c r="H134" s="5">
        <v>1</v>
      </c>
      <c r="I134" s="5" t="s">
        <v>344</v>
      </c>
      <c r="J134" s="5">
        <v>392126</v>
      </c>
      <c r="K134" s="5" t="s">
        <v>345</v>
      </c>
    </row>
    <row r="135">
      <c r="A135" s="0" t="s">
        <v>346</v>
      </c>
      <c r="B135" s="5">
        <v>0</v>
      </c>
      <c r="C135" s="5">
        <v>0</v>
      </c>
      <c r="D135" s="5">
        <v>438</v>
      </c>
      <c r="E135" s="5">
        <v>604615.04</v>
      </c>
      <c r="F135" s="5">
        <v>438</v>
      </c>
      <c r="G135" s="5">
        <v>604615.04</v>
      </c>
      <c r="H135" s="5">
        <v>1</v>
      </c>
      <c r="I135" s="5" t="s">
        <v>347</v>
      </c>
      <c r="J135" s="5">
        <v>7473375.9999999991</v>
      </c>
      <c r="K135" s="5" t="s">
        <v>348</v>
      </c>
    </row>
    <row r="136">
      <c r="A136" s="0" t="s">
        <v>349</v>
      </c>
      <c r="B136" s="5">
        <v>0</v>
      </c>
      <c r="C136" s="5">
        <v>0</v>
      </c>
      <c r="D136" s="5">
        <v>5219.25</v>
      </c>
      <c r="E136" s="5">
        <v>7688847.88</v>
      </c>
      <c r="F136" s="5">
        <v>5219.25</v>
      </c>
      <c r="G136" s="5">
        <v>7688847.88</v>
      </c>
      <c r="H136" s="5">
        <v>1</v>
      </c>
      <c r="I136" s="5" t="s">
        <v>350</v>
      </c>
      <c r="J136" s="5">
        <v>785423</v>
      </c>
      <c r="K136" s="5" t="s">
        <v>351</v>
      </c>
    </row>
    <row r="137">
      <c r="A137" s="0" t="s">
        <v>352</v>
      </c>
      <c r="B137" s="5">
        <v>0</v>
      </c>
      <c r="C137" s="5">
        <v>0</v>
      </c>
      <c r="D137" s="5">
        <v>3253.9999999999995</v>
      </c>
      <c r="E137" s="5">
        <v>4768834.26</v>
      </c>
      <c r="F137" s="5">
        <v>3253.9999999999995</v>
      </c>
      <c r="G137" s="5">
        <v>4768834.26</v>
      </c>
      <c r="H137" s="5">
        <v>1</v>
      </c>
      <c r="I137" s="5" t="s">
        <v>353</v>
      </c>
      <c r="J137" s="5">
        <v>5982780</v>
      </c>
      <c r="K137" s="5" t="s">
        <v>354</v>
      </c>
    </row>
    <row r="138">
      <c r="A138" s="0" t="s">
        <v>355</v>
      </c>
      <c r="B138" s="5">
        <v>0</v>
      </c>
      <c r="C138" s="5">
        <v>0</v>
      </c>
      <c r="D138" s="5">
        <v>5075.75</v>
      </c>
      <c r="E138" s="5">
        <v>10022438.5</v>
      </c>
      <c r="F138" s="5">
        <v>5075.75</v>
      </c>
      <c r="G138" s="5">
        <v>10022438.5</v>
      </c>
      <c r="H138" s="5">
        <v>1</v>
      </c>
      <c r="I138" s="5" t="s">
        <v>356</v>
      </c>
      <c r="J138" s="5">
        <v>9697203</v>
      </c>
      <c r="K138" s="5" t="s">
        <v>357</v>
      </c>
    </row>
    <row r="139">
      <c r="A139" s="0" t="s">
        <v>358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1</v>
      </c>
      <c r="I139" s="5" t="s">
        <v>71</v>
      </c>
      <c r="J139" s="5">
        <v>0</v>
      </c>
      <c r="K139" s="5" t="s">
        <v>71</v>
      </c>
    </row>
    <row r="140">
      <c r="A140" s="0" t="s">
        <v>359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1</v>
      </c>
      <c r="I140" s="5" t="s">
        <v>71</v>
      </c>
      <c r="J140" s="5">
        <v>0</v>
      </c>
      <c r="K140" s="5" t="s">
        <v>71</v>
      </c>
    </row>
    <row r="141">
      <c r="A141" s="0" t="s">
        <v>360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1</v>
      </c>
      <c r="I141" s="5" t="s">
        <v>71</v>
      </c>
      <c r="J141" s="5">
        <v>0</v>
      </c>
      <c r="K141" s="5" t="s">
        <v>71</v>
      </c>
    </row>
    <row r="142">
      <c r="A142" s="0" t="s">
        <v>361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1</v>
      </c>
      <c r="I142" s="5" t="s">
        <v>71</v>
      </c>
      <c r="J142" s="5">
        <v>0</v>
      </c>
      <c r="K142" s="5" t="s">
        <v>71</v>
      </c>
    </row>
    <row r="143">
      <c r="A143" s="0" t="s">
        <v>362</v>
      </c>
      <c r="B143" s="5">
        <v>0</v>
      </c>
      <c r="C143" s="5">
        <v>0</v>
      </c>
      <c r="D143" s="5">
        <v>600</v>
      </c>
      <c r="E143" s="5">
        <v>35400</v>
      </c>
      <c r="F143" s="5">
        <v>600</v>
      </c>
      <c r="G143" s="5">
        <v>35400</v>
      </c>
      <c r="H143" s="5">
        <v>1</v>
      </c>
      <c r="I143" s="5" t="s">
        <v>363</v>
      </c>
      <c r="J143" s="5">
        <v>0</v>
      </c>
      <c r="K143" s="5" t="s">
        <v>71</v>
      </c>
    </row>
    <row r="144">
      <c r="A144" s="0" t="s">
        <v>364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1</v>
      </c>
      <c r="I144" s="5" t="s">
        <v>71</v>
      </c>
      <c r="J144" s="5">
        <v>0</v>
      </c>
      <c r="K144" s="5" t="s">
        <v>71</v>
      </c>
    </row>
    <row r="145">
      <c r="A145" s="0" t="s">
        <v>365</v>
      </c>
      <c r="B145" s="5">
        <v>0</v>
      </c>
      <c r="C145" s="5">
        <v>0</v>
      </c>
      <c r="D145" s="5">
        <v>84</v>
      </c>
      <c r="E145" s="5">
        <v>31280.31</v>
      </c>
      <c r="F145" s="5">
        <v>84</v>
      </c>
      <c r="G145" s="5">
        <v>31280.31</v>
      </c>
      <c r="H145" s="5">
        <v>1</v>
      </c>
      <c r="I145" s="5" t="s">
        <v>366</v>
      </c>
      <c r="J145" s="5">
        <v>171700</v>
      </c>
      <c r="K145" s="5" t="s">
        <v>367</v>
      </c>
    </row>
    <row r="146">
      <c r="A146" s="0" t="s">
        <v>368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1</v>
      </c>
      <c r="I146" s="5" t="s">
        <v>71</v>
      </c>
      <c r="J146" s="5">
        <v>0</v>
      </c>
      <c r="K146" s="5" t="s">
        <v>71</v>
      </c>
    </row>
    <row r="147">
      <c r="A147" s="0" t="s">
        <v>369</v>
      </c>
      <c r="B147" s="5">
        <v>0</v>
      </c>
      <c r="C147" s="5">
        <v>0</v>
      </c>
      <c r="D147" s="5">
        <v>7384</v>
      </c>
      <c r="E147" s="5">
        <v>353148</v>
      </c>
      <c r="F147" s="5">
        <v>7384</v>
      </c>
      <c r="G147" s="5">
        <v>353148</v>
      </c>
      <c r="H147" s="5">
        <v>1</v>
      </c>
      <c r="I147" s="5" t="s">
        <v>370</v>
      </c>
      <c r="J147" s="5">
        <v>347520</v>
      </c>
      <c r="K147" s="5" t="s">
        <v>371</v>
      </c>
    </row>
    <row r="148">
      <c r="A148" s="0" t="s">
        <v>372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 t="s">
        <v>71</v>
      </c>
      <c r="J148" s="5">
        <v>0</v>
      </c>
      <c r="K148" s="5" t="s">
        <v>71</v>
      </c>
    </row>
    <row r="149">
      <c r="A149" s="0" t="s">
        <v>373</v>
      </c>
      <c r="B149" s="5">
        <v>0</v>
      </c>
      <c r="C149" s="5">
        <v>0</v>
      </c>
      <c r="D149" s="5">
        <v>1127747.27</v>
      </c>
      <c r="E149" s="5">
        <v>19776647.669999998</v>
      </c>
      <c r="F149" s="5">
        <v>1127747.27</v>
      </c>
      <c r="G149" s="5">
        <v>19776647.669999998</v>
      </c>
      <c r="H149" s="5">
        <v>18</v>
      </c>
      <c r="I149" s="5" t="s">
        <v>374</v>
      </c>
      <c r="J149" s="5">
        <v>19097519</v>
      </c>
      <c r="K149" s="5" t="s">
        <v>375</v>
      </c>
    </row>
    <row r="150">
      <c r="A150" s="0" t="s">
        <v>376</v>
      </c>
      <c r="B150" s="5">
        <v>0</v>
      </c>
      <c r="C150" s="5">
        <v>0</v>
      </c>
      <c r="D150" s="5">
        <v>3470.64</v>
      </c>
      <c r="E150" s="5">
        <v>66029.92</v>
      </c>
      <c r="F150" s="5">
        <v>3470.64</v>
      </c>
      <c r="G150" s="5">
        <v>66029.92</v>
      </c>
      <c r="H150" s="5">
        <v>1</v>
      </c>
      <c r="I150" s="5" t="s">
        <v>377</v>
      </c>
      <c r="J150" s="5">
        <v>148375</v>
      </c>
      <c r="K150" s="5" t="s">
        <v>378</v>
      </c>
    </row>
    <row r="151">
      <c r="A151" s="0" t="s">
        <v>379</v>
      </c>
      <c r="B151" s="5">
        <v>0</v>
      </c>
      <c r="C151" s="5">
        <v>0</v>
      </c>
      <c r="D151" s="5">
        <v>71653.09</v>
      </c>
      <c r="E151" s="5">
        <v>1350479.6300000001</v>
      </c>
      <c r="F151" s="5">
        <v>71653.09</v>
      </c>
      <c r="G151" s="5">
        <v>1350479.6300000001</v>
      </c>
      <c r="H151" s="5">
        <v>1</v>
      </c>
      <c r="I151" s="5" t="s">
        <v>380</v>
      </c>
      <c r="J151" s="5">
        <v>565171</v>
      </c>
      <c r="K151" s="5" t="s">
        <v>381</v>
      </c>
    </row>
    <row r="152">
      <c r="A152" s="0" t="s">
        <v>382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1</v>
      </c>
      <c r="I152" s="5" t="s">
        <v>71</v>
      </c>
      <c r="J152" s="5">
        <v>0</v>
      </c>
      <c r="K152" s="5" t="s">
        <v>71</v>
      </c>
    </row>
    <row r="153">
      <c r="A153" s="0" t="s">
        <v>383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1</v>
      </c>
      <c r="I153" s="5" t="s">
        <v>71</v>
      </c>
      <c r="J153" s="5">
        <v>0</v>
      </c>
      <c r="K153" s="5" t="s">
        <v>71</v>
      </c>
    </row>
    <row r="154">
      <c r="A154" s="0" t="s">
        <v>384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1</v>
      </c>
      <c r="I154" s="5" t="s">
        <v>71</v>
      </c>
      <c r="J154" s="5">
        <v>0</v>
      </c>
      <c r="K154" s="5" t="s">
        <v>71</v>
      </c>
    </row>
    <row r="155">
      <c r="A155" s="0" t="s">
        <v>385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1</v>
      </c>
      <c r="I155" s="5" t="s">
        <v>71</v>
      </c>
      <c r="J155" s="5">
        <v>0</v>
      </c>
      <c r="K155" s="5" t="s">
        <v>71</v>
      </c>
    </row>
    <row r="156">
      <c r="A156" s="0" t="s">
        <v>386</v>
      </c>
      <c r="B156" s="5">
        <v>0</v>
      </c>
      <c r="C156" s="5">
        <v>0</v>
      </c>
      <c r="D156" s="5">
        <v>26734.4</v>
      </c>
      <c r="E156" s="5">
        <v>507418.91</v>
      </c>
      <c r="F156" s="5">
        <v>26734.4</v>
      </c>
      <c r="G156" s="5">
        <v>507418.91</v>
      </c>
      <c r="H156" s="5">
        <v>1</v>
      </c>
      <c r="I156" s="5" t="s">
        <v>387</v>
      </c>
      <c r="J156" s="5">
        <v>430911</v>
      </c>
      <c r="K156" s="5" t="s">
        <v>388</v>
      </c>
    </row>
    <row r="157">
      <c r="A157" s="0" t="s">
        <v>389</v>
      </c>
      <c r="B157" s="5">
        <v>0</v>
      </c>
      <c r="C157" s="5">
        <v>0</v>
      </c>
      <c r="D157" s="5">
        <v>436834.66000000003</v>
      </c>
      <c r="E157" s="5">
        <v>7902965.96</v>
      </c>
      <c r="F157" s="5">
        <v>436834.66000000003</v>
      </c>
      <c r="G157" s="5">
        <v>7902965.96</v>
      </c>
      <c r="H157" s="5">
        <v>1</v>
      </c>
      <c r="I157" s="5" t="s">
        <v>390</v>
      </c>
      <c r="J157" s="5">
        <v>11470329</v>
      </c>
      <c r="K157" s="5" t="s">
        <v>391</v>
      </c>
    </row>
    <row r="158">
      <c r="A158" s="0" t="s">
        <v>392</v>
      </c>
      <c r="B158" s="5">
        <v>0</v>
      </c>
      <c r="C158" s="5">
        <v>0</v>
      </c>
      <c r="D158" s="5">
        <v>127565.38</v>
      </c>
      <c r="E158" s="5">
        <v>2371463.14</v>
      </c>
      <c r="F158" s="5">
        <v>127565.38</v>
      </c>
      <c r="G158" s="5">
        <v>2371463.14</v>
      </c>
      <c r="H158" s="5">
        <v>1</v>
      </c>
      <c r="I158" s="5" t="s">
        <v>393</v>
      </c>
      <c r="J158" s="5">
        <v>717949</v>
      </c>
      <c r="K158" s="5" t="s">
        <v>394</v>
      </c>
    </row>
    <row r="159">
      <c r="A159" s="0" t="s">
        <v>395</v>
      </c>
      <c r="B159" s="5">
        <v>0</v>
      </c>
      <c r="C159" s="5">
        <v>0</v>
      </c>
      <c r="D159" s="5">
        <v>123480.63</v>
      </c>
      <c r="E159" s="5">
        <v>2276982.8200000003</v>
      </c>
      <c r="F159" s="5">
        <v>123480.63</v>
      </c>
      <c r="G159" s="5">
        <v>2276982.8200000003</v>
      </c>
      <c r="H159" s="5">
        <v>1</v>
      </c>
      <c r="I159" s="5" t="s">
        <v>396</v>
      </c>
      <c r="J159" s="5">
        <v>720324</v>
      </c>
      <c r="K159" s="5" t="s">
        <v>397</v>
      </c>
    </row>
    <row r="160">
      <c r="A160" s="0" t="s">
        <v>398</v>
      </c>
      <c r="B160" s="5">
        <v>0</v>
      </c>
      <c r="C160" s="5">
        <v>0</v>
      </c>
      <c r="D160" s="5">
        <v>239670.17</v>
      </c>
      <c r="E160" s="5">
        <v>4407534.43</v>
      </c>
      <c r="F160" s="5">
        <v>239670.17</v>
      </c>
      <c r="G160" s="5">
        <v>4407534.43</v>
      </c>
      <c r="H160" s="5">
        <v>1</v>
      </c>
      <c r="I160" s="5" t="s">
        <v>399</v>
      </c>
      <c r="J160" s="5">
        <v>4176757</v>
      </c>
      <c r="K160" s="5" t="s">
        <v>400</v>
      </c>
    </row>
    <row r="161">
      <c r="A161" s="0" t="s">
        <v>401</v>
      </c>
      <c r="B161" s="5">
        <v>0</v>
      </c>
      <c r="C161" s="5">
        <v>0</v>
      </c>
      <c r="D161" s="5">
        <v>53657.4</v>
      </c>
      <c r="E161" s="5">
        <v>976564.68</v>
      </c>
      <c r="F161" s="5">
        <v>53657.4</v>
      </c>
      <c r="G161" s="5">
        <v>976564.68</v>
      </c>
      <c r="H161" s="5">
        <v>1</v>
      </c>
      <c r="I161" s="5" t="s">
        <v>402</v>
      </c>
      <c r="J161" s="5">
        <v>743923</v>
      </c>
      <c r="K161" s="5" t="s">
        <v>403</v>
      </c>
    </row>
    <row r="162">
      <c r="A162" s="0" t="s">
        <v>404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1</v>
      </c>
      <c r="I162" s="5" t="s">
        <v>71</v>
      </c>
      <c r="J162" s="5">
        <v>0</v>
      </c>
      <c r="K162" s="5" t="s">
        <v>71</v>
      </c>
    </row>
    <row r="163">
      <c r="A163" s="0" t="s">
        <v>405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1</v>
      </c>
      <c r="I163" s="5" t="s">
        <v>71</v>
      </c>
      <c r="J163" s="5">
        <v>0</v>
      </c>
      <c r="K163" s="5" t="s">
        <v>71</v>
      </c>
    </row>
    <row r="164">
      <c r="A164" s="0" t="s">
        <v>406</v>
      </c>
      <c r="B164" s="5">
        <v>0</v>
      </c>
      <c r="C164" s="5">
        <v>0</v>
      </c>
      <c r="D164" s="5">
        <v>-3840.0999999999995</v>
      </c>
      <c r="E164" s="5">
        <v>-184300.2</v>
      </c>
      <c r="F164" s="5">
        <v>-3840.0999999999995</v>
      </c>
      <c r="G164" s="5">
        <v>-184300.2</v>
      </c>
      <c r="H164" s="5">
        <v>1</v>
      </c>
      <c r="I164" s="5" t="s">
        <v>407</v>
      </c>
      <c r="J164" s="5">
        <v>55100.000000000007</v>
      </c>
      <c r="K164" s="5" t="s">
        <v>408</v>
      </c>
    </row>
    <row r="165">
      <c r="A165" s="0" t="s">
        <v>409</v>
      </c>
      <c r="B165" s="5">
        <v>0</v>
      </c>
      <c r="C165" s="5">
        <v>0</v>
      </c>
      <c r="D165" s="5">
        <v>1</v>
      </c>
      <c r="E165" s="5">
        <v>3840</v>
      </c>
      <c r="F165" s="5">
        <v>1</v>
      </c>
      <c r="G165" s="5">
        <v>3840</v>
      </c>
      <c r="H165" s="5">
        <v>1</v>
      </c>
      <c r="I165" s="5" t="s">
        <v>110</v>
      </c>
      <c r="J165" s="5">
        <v>0</v>
      </c>
      <c r="K165" s="5" t="s">
        <v>71</v>
      </c>
    </row>
    <row r="166">
      <c r="A166" s="0" t="s">
        <v>410</v>
      </c>
      <c r="B166" s="5">
        <v>0</v>
      </c>
      <c r="C166" s="5">
        <v>0</v>
      </c>
      <c r="D166" s="5">
        <v>48500</v>
      </c>
      <c r="E166" s="5">
        <v>61150</v>
      </c>
      <c r="F166" s="5">
        <v>48500</v>
      </c>
      <c r="G166" s="5">
        <v>61150</v>
      </c>
      <c r="H166" s="5">
        <v>1</v>
      </c>
      <c r="I166" s="5" t="s">
        <v>411</v>
      </c>
      <c r="J166" s="5">
        <v>68680</v>
      </c>
      <c r="K166" s="5" t="s">
        <v>412</v>
      </c>
    </row>
    <row r="167">
      <c r="A167" s="0" t="s">
        <v>413</v>
      </c>
      <c r="B167" s="5">
        <v>0</v>
      </c>
      <c r="C167" s="5">
        <v>0</v>
      </c>
      <c r="D167" s="5">
        <v>20</v>
      </c>
      <c r="E167" s="5">
        <v>36518.380000000005</v>
      </c>
      <c r="F167" s="5">
        <v>20</v>
      </c>
      <c r="G167" s="5">
        <v>36518.380000000005</v>
      </c>
      <c r="H167" s="5">
        <v>1</v>
      </c>
      <c r="I167" s="5" t="s">
        <v>414</v>
      </c>
      <c r="J167" s="5">
        <v>0</v>
      </c>
      <c r="K167" s="5" t="s">
        <v>71</v>
      </c>
    </row>
    <row r="168">
      <c r="A168" s="0" t="s">
        <v>415</v>
      </c>
      <c r="B168" s="5">
        <v>0</v>
      </c>
      <c r="C168" s="5">
        <v>0</v>
      </c>
      <c r="D168" s="5">
        <v>20</v>
      </c>
      <c r="E168" s="5">
        <v>36518.380000000005</v>
      </c>
      <c r="F168" s="5">
        <v>20</v>
      </c>
      <c r="G168" s="5">
        <v>36518.380000000005</v>
      </c>
      <c r="H168" s="5">
        <v>1</v>
      </c>
      <c r="I168" s="5" t="s">
        <v>414</v>
      </c>
      <c r="J168" s="5">
        <v>0</v>
      </c>
      <c r="K168" s="5" t="s">
        <v>71</v>
      </c>
    </row>
    <row r="169">
      <c r="A169" s="0" t="s">
        <v>416</v>
      </c>
      <c r="B169" s="5">
        <v>0</v>
      </c>
      <c r="C169" s="5">
        <v>0</v>
      </c>
      <c r="D169" s="5">
        <v>248</v>
      </c>
      <c r="E169" s="5">
        <v>17749.36</v>
      </c>
      <c r="F169" s="5">
        <v>248</v>
      </c>
      <c r="G169" s="5">
        <v>17749.36</v>
      </c>
      <c r="H169" s="5">
        <v>1</v>
      </c>
      <c r="I169" s="5" t="s">
        <v>417</v>
      </c>
      <c r="J169" s="5">
        <v>0</v>
      </c>
      <c r="K169" s="5" t="s">
        <v>71</v>
      </c>
    </row>
    <row r="170">
      <c r="A170" s="0" t="s">
        <v>418</v>
      </c>
      <c r="B170" s="5">
        <v>272.7</v>
      </c>
      <c r="C170" s="5">
        <v>2887.584</v>
      </c>
      <c r="D170" s="5">
        <v>16473.4</v>
      </c>
      <c r="E170" s="5">
        <v>5801033.36</v>
      </c>
      <c r="F170" s="5">
        <v>16746.1</v>
      </c>
      <c r="G170" s="5">
        <v>5803920.944</v>
      </c>
      <c r="H170" s="5">
        <v>11</v>
      </c>
      <c r="I170" s="5" t="s">
        <v>419</v>
      </c>
      <c r="J170" s="5">
        <v>6699041</v>
      </c>
      <c r="K170" s="5" t="s">
        <v>420</v>
      </c>
    </row>
    <row r="171">
      <c r="A171" s="0" t="s">
        <v>421</v>
      </c>
      <c r="B171" s="5">
        <v>0</v>
      </c>
      <c r="C171" s="5">
        <v>0</v>
      </c>
      <c r="D171" s="5">
        <v>1739</v>
      </c>
      <c r="E171" s="5">
        <v>88621.84</v>
      </c>
      <c r="F171" s="5">
        <v>1739</v>
      </c>
      <c r="G171" s="5">
        <v>88621.84</v>
      </c>
      <c r="H171" s="5">
        <v>1</v>
      </c>
      <c r="I171" s="5" t="s">
        <v>422</v>
      </c>
      <c r="J171" s="5">
        <v>515100</v>
      </c>
      <c r="K171" s="5" t="s">
        <v>423</v>
      </c>
    </row>
    <row r="172">
      <c r="A172" s="0" t="s">
        <v>424</v>
      </c>
      <c r="B172" s="5">
        <v>0</v>
      </c>
      <c r="C172" s="5">
        <v>0</v>
      </c>
      <c r="D172" s="5">
        <v>1</v>
      </c>
      <c r="E172" s="5">
        <v>1412.87</v>
      </c>
      <c r="F172" s="5">
        <v>1</v>
      </c>
      <c r="G172" s="5">
        <v>1412.87</v>
      </c>
      <c r="H172" s="5">
        <v>1</v>
      </c>
      <c r="I172" s="5" t="s">
        <v>110</v>
      </c>
      <c r="J172" s="5">
        <v>0</v>
      </c>
      <c r="K172" s="5" t="s">
        <v>71</v>
      </c>
    </row>
    <row r="173">
      <c r="A173" s="0" t="s">
        <v>425</v>
      </c>
      <c r="B173" s="5">
        <v>0</v>
      </c>
      <c r="C173" s="5">
        <v>0</v>
      </c>
      <c r="D173" s="5">
        <v>2198</v>
      </c>
      <c r="E173" s="5">
        <v>2927788</v>
      </c>
      <c r="F173" s="5">
        <v>2198</v>
      </c>
      <c r="G173" s="5">
        <v>2927788</v>
      </c>
      <c r="H173" s="5">
        <v>1</v>
      </c>
      <c r="I173" s="5" t="s">
        <v>426</v>
      </c>
      <c r="J173" s="5">
        <v>3090600</v>
      </c>
      <c r="K173" s="5" t="s">
        <v>427</v>
      </c>
    </row>
    <row r="174">
      <c r="A174" s="0" t="s">
        <v>428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1</v>
      </c>
      <c r="I174" s="5" t="s">
        <v>71</v>
      </c>
      <c r="J174" s="5">
        <v>174441</v>
      </c>
      <c r="K174" s="5" t="s">
        <v>71</v>
      </c>
    </row>
    <row r="175">
      <c r="A175" s="0" t="s">
        <v>429</v>
      </c>
      <c r="B175" s="5">
        <v>272.7</v>
      </c>
      <c r="C175" s="5">
        <v>2887.584</v>
      </c>
      <c r="D175" s="5">
        <v>2188.4</v>
      </c>
      <c r="E175" s="5">
        <v>2186082.78</v>
      </c>
      <c r="F175" s="5">
        <v>2461.1</v>
      </c>
      <c r="G175" s="5">
        <v>2188970.364</v>
      </c>
      <c r="H175" s="5">
        <v>1</v>
      </c>
      <c r="I175" s="5" t="s">
        <v>430</v>
      </c>
      <c r="J175" s="5">
        <v>2747200</v>
      </c>
      <c r="K175" s="5" t="s">
        <v>431</v>
      </c>
    </row>
    <row r="176">
      <c r="A176" s="0" t="s">
        <v>432</v>
      </c>
      <c r="B176" s="5">
        <v>0</v>
      </c>
      <c r="C176" s="5">
        <v>0</v>
      </c>
      <c r="D176" s="5">
        <v>565</v>
      </c>
      <c r="E176" s="5">
        <v>282155.35</v>
      </c>
      <c r="F176" s="5">
        <v>565</v>
      </c>
      <c r="G176" s="5">
        <v>282155.35</v>
      </c>
      <c r="H176" s="5">
        <v>1</v>
      </c>
      <c r="I176" s="5" t="s">
        <v>433</v>
      </c>
      <c r="J176" s="5">
        <v>0</v>
      </c>
      <c r="K176" s="5" t="s">
        <v>71</v>
      </c>
    </row>
    <row r="177">
      <c r="A177" s="0" t="s">
        <v>434</v>
      </c>
      <c r="B177" s="5">
        <v>0</v>
      </c>
      <c r="C177" s="5">
        <v>0</v>
      </c>
      <c r="D177" s="5">
        <v>1</v>
      </c>
      <c r="E177" s="5">
        <v>49639.999999999993</v>
      </c>
      <c r="F177" s="5">
        <v>1</v>
      </c>
      <c r="G177" s="5">
        <v>49639.999999999993</v>
      </c>
      <c r="H177" s="5">
        <v>1</v>
      </c>
      <c r="I177" s="5" t="s">
        <v>110</v>
      </c>
      <c r="J177" s="5">
        <v>0</v>
      </c>
      <c r="K177" s="5" t="s">
        <v>71</v>
      </c>
    </row>
    <row r="178">
      <c r="A178" s="0" t="s">
        <v>435</v>
      </c>
      <c r="B178" s="5">
        <v>0</v>
      </c>
      <c r="C178" s="5">
        <v>0</v>
      </c>
      <c r="D178" s="5">
        <v>45</v>
      </c>
      <c r="E178" s="5">
        <v>27482.04</v>
      </c>
      <c r="F178" s="5">
        <v>45</v>
      </c>
      <c r="G178" s="5">
        <v>27482.04</v>
      </c>
      <c r="H178" s="5">
        <v>1</v>
      </c>
      <c r="I178" s="5" t="s">
        <v>436</v>
      </c>
      <c r="J178" s="5">
        <v>0</v>
      </c>
      <c r="K178" s="5" t="s">
        <v>71</v>
      </c>
    </row>
    <row r="179">
      <c r="A179" s="0" t="s">
        <v>437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1</v>
      </c>
      <c r="I179" s="5" t="s">
        <v>71</v>
      </c>
      <c r="J179" s="5">
        <v>0</v>
      </c>
      <c r="K179" s="5" t="s">
        <v>71</v>
      </c>
    </row>
    <row r="180">
      <c r="A180" s="0" t="s">
        <v>438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1</v>
      </c>
      <c r="I180" s="5" t="s">
        <v>71</v>
      </c>
      <c r="J180" s="5">
        <v>171700</v>
      </c>
      <c r="K180" s="5" t="s">
        <v>71</v>
      </c>
    </row>
    <row r="181">
      <c r="A181" s="0" t="s">
        <v>439</v>
      </c>
      <c r="B181" s="5">
        <v>0</v>
      </c>
      <c r="C181" s="5">
        <v>0</v>
      </c>
      <c r="D181" s="5">
        <v>9736</v>
      </c>
      <c r="E181" s="5">
        <v>237850.48</v>
      </c>
      <c r="F181" s="5">
        <v>9736</v>
      </c>
      <c r="G181" s="5">
        <v>237850.48</v>
      </c>
      <c r="H181" s="5">
        <v>1</v>
      </c>
      <c r="I181" s="5" t="s">
        <v>440</v>
      </c>
      <c r="J181" s="5">
        <v>0</v>
      </c>
      <c r="K181" s="5" t="s">
        <v>71</v>
      </c>
    </row>
    <row r="182">
      <c r="A182" s="0" t="s">
        <v>441</v>
      </c>
      <c r="B182" s="5">
        <v>0</v>
      </c>
      <c r="C182" s="5">
        <v>0</v>
      </c>
      <c r="D182" s="5">
        <v>9736</v>
      </c>
      <c r="E182" s="5">
        <v>237850.48</v>
      </c>
      <c r="F182" s="5">
        <v>9736</v>
      </c>
      <c r="G182" s="5">
        <v>237850.48</v>
      </c>
      <c r="H182" s="5">
        <v>1</v>
      </c>
      <c r="I182" s="5" t="s">
        <v>440</v>
      </c>
      <c r="J182" s="5">
        <v>0</v>
      </c>
      <c r="K182" s="5" t="s">
        <v>71</v>
      </c>
    </row>
    <row r="183">
      <c r="A183" s="0" t="s">
        <v>442</v>
      </c>
      <c r="B183" s="5">
        <v>0</v>
      </c>
      <c r="C183" s="5">
        <v>0</v>
      </c>
      <c r="D183" s="5">
        <v>17</v>
      </c>
      <c r="E183" s="5">
        <v>37091.11</v>
      </c>
      <c r="F183" s="5">
        <v>17</v>
      </c>
      <c r="G183" s="5">
        <v>37091.11</v>
      </c>
      <c r="H183" s="5">
        <v>1</v>
      </c>
      <c r="I183" s="5" t="s">
        <v>443</v>
      </c>
      <c r="J183" s="5">
        <v>0</v>
      </c>
      <c r="K183" s="5" t="s">
        <v>71</v>
      </c>
    </row>
    <row r="184">
      <c r="A184" s="0" t="s">
        <v>444</v>
      </c>
      <c r="B184" s="5">
        <v>0</v>
      </c>
      <c r="C184" s="5">
        <v>0</v>
      </c>
      <c r="D184" s="5">
        <v>1026.04</v>
      </c>
      <c r="E184" s="5">
        <v>130092.7</v>
      </c>
      <c r="F184" s="5">
        <v>1026.04</v>
      </c>
      <c r="G184" s="5">
        <v>130092.7</v>
      </c>
      <c r="H184" s="5">
        <v>1</v>
      </c>
      <c r="I184" s="5" t="s">
        <v>445</v>
      </c>
      <c r="J184" s="5">
        <v>0</v>
      </c>
      <c r="K184" s="5" t="s">
        <v>71</v>
      </c>
    </row>
    <row r="185">
      <c r="A185" s="0" t="s">
        <v>446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4</v>
      </c>
      <c r="I185" s="5" t="s">
        <v>71</v>
      </c>
      <c r="J185" s="5">
        <v>0</v>
      </c>
      <c r="K185" s="5" t="s">
        <v>71</v>
      </c>
    </row>
    <row r="186">
      <c r="A186" s="0" t="s">
        <v>447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1</v>
      </c>
      <c r="I186" s="5" t="s">
        <v>71</v>
      </c>
      <c r="J186" s="5">
        <v>0</v>
      </c>
      <c r="K186" s="5" t="s">
        <v>71</v>
      </c>
    </row>
    <row r="187">
      <c r="A187" s="0" t="s">
        <v>448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1</v>
      </c>
      <c r="I187" s="5" t="s">
        <v>71</v>
      </c>
      <c r="J187" s="5">
        <v>0</v>
      </c>
      <c r="K187" s="5" t="s">
        <v>71</v>
      </c>
    </row>
    <row r="188">
      <c r="A188" s="0" t="s">
        <v>449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1</v>
      </c>
      <c r="I188" s="5" t="s">
        <v>71</v>
      </c>
      <c r="J188" s="5">
        <v>0</v>
      </c>
      <c r="K188" s="5" t="s">
        <v>71</v>
      </c>
    </row>
    <row r="189">
      <c r="A189" s="0" t="s">
        <v>450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1</v>
      </c>
      <c r="I189" s="5" t="s">
        <v>71</v>
      </c>
      <c r="J189" s="5">
        <v>0</v>
      </c>
      <c r="K189" s="5" t="s">
        <v>71</v>
      </c>
    </row>
    <row r="190">
      <c r="A190" s="0" t="s">
        <v>451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 t="s">
        <v>71</v>
      </c>
      <c r="J190" s="5">
        <v>0</v>
      </c>
      <c r="K190" s="5" t="s">
        <v>71</v>
      </c>
    </row>
    <row r="191">
      <c r="A191" s="0" t="s">
        <v>452</v>
      </c>
      <c r="B191" s="5">
        <v>0</v>
      </c>
      <c r="C191" s="5">
        <v>0</v>
      </c>
      <c r="D191" s="5">
        <v>3</v>
      </c>
      <c r="E191" s="5">
        <v>7000</v>
      </c>
      <c r="F191" s="5">
        <v>3</v>
      </c>
      <c r="G191" s="5">
        <v>7000</v>
      </c>
      <c r="H191" s="5">
        <v>1</v>
      </c>
      <c r="I191" s="5" t="s">
        <v>453</v>
      </c>
      <c r="J191" s="5">
        <v>0</v>
      </c>
      <c r="K191" s="5" t="s">
        <v>71</v>
      </c>
    </row>
    <row r="192">
      <c r="A192" s="0" t="s">
        <v>454</v>
      </c>
      <c r="B192" s="5">
        <v>24</v>
      </c>
      <c r="C192" s="5">
        <v>3359.9999999999995</v>
      </c>
      <c r="D192" s="5">
        <v>387.99999999999994</v>
      </c>
      <c r="E192" s="5">
        <v>65886.92</v>
      </c>
      <c r="F192" s="5">
        <v>412.00000000000006</v>
      </c>
      <c r="G192" s="5">
        <v>69246.92</v>
      </c>
      <c r="H192" s="5">
        <v>5</v>
      </c>
      <c r="I192" s="5" t="s">
        <v>455</v>
      </c>
      <c r="J192" s="5">
        <v>30</v>
      </c>
      <c r="K192" s="5" t="s">
        <v>456</v>
      </c>
    </row>
    <row r="193">
      <c r="A193" s="0" t="s">
        <v>457</v>
      </c>
      <c r="B193" s="5">
        <v>0</v>
      </c>
      <c r="C193" s="5">
        <v>0</v>
      </c>
      <c r="D193" s="5">
        <v>2</v>
      </c>
      <c r="E193" s="5">
        <v>1966.9199999999998</v>
      </c>
      <c r="F193" s="5">
        <v>2</v>
      </c>
      <c r="G193" s="5">
        <v>1966.9199999999998</v>
      </c>
      <c r="H193" s="5">
        <v>1</v>
      </c>
      <c r="I193" s="5" t="s">
        <v>458</v>
      </c>
      <c r="J193" s="5">
        <v>0</v>
      </c>
      <c r="K193" s="5" t="s">
        <v>71</v>
      </c>
    </row>
    <row r="194">
      <c r="A194" s="0" t="s">
        <v>459</v>
      </c>
      <c r="B194" s="5">
        <v>0</v>
      </c>
      <c r="C194" s="5">
        <v>0</v>
      </c>
      <c r="D194" s="5">
        <v>9</v>
      </c>
      <c r="E194" s="5">
        <v>0</v>
      </c>
      <c r="F194" s="5">
        <v>9</v>
      </c>
      <c r="G194" s="5">
        <v>0</v>
      </c>
      <c r="H194" s="5">
        <v>1</v>
      </c>
      <c r="I194" s="5" t="s">
        <v>220</v>
      </c>
      <c r="J194" s="5">
        <v>30</v>
      </c>
      <c r="K194" s="5" t="s">
        <v>71</v>
      </c>
    </row>
    <row r="195">
      <c r="A195" s="0" t="s">
        <v>460</v>
      </c>
      <c r="B195" s="5">
        <v>0</v>
      </c>
      <c r="C195" s="5">
        <v>0</v>
      </c>
      <c r="D195" s="5">
        <v>41</v>
      </c>
      <c r="E195" s="5">
        <v>31232</v>
      </c>
      <c r="F195" s="5">
        <v>41</v>
      </c>
      <c r="G195" s="5">
        <v>31232</v>
      </c>
      <c r="H195" s="5">
        <v>1</v>
      </c>
      <c r="I195" s="5" t="s">
        <v>461</v>
      </c>
      <c r="J195" s="5">
        <v>0</v>
      </c>
      <c r="K195" s="5" t="s">
        <v>71</v>
      </c>
    </row>
    <row r="196">
      <c r="A196" s="0" t="s">
        <v>462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1</v>
      </c>
      <c r="I196" s="5" t="s">
        <v>71</v>
      </c>
      <c r="J196" s="5">
        <v>0</v>
      </c>
      <c r="K196" s="5" t="s">
        <v>71</v>
      </c>
    </row>
    <row r="197">
      <c r="A197" s="0" t="s">
        <v>463</v>
      </c>
      <c r="B197" s="5">
        <v>24</v>
      </c>
      <c r="C197" s="5">
        <v>3359.9999999999995</v>
      </c>
      <c r="D197" s="5">
        <v>336</v>
      </c>
      <c r="E197" s="5">
        <v>32687.999999999996</v>
      </c>
      <c r="F197" s="5">
        <v>360</v>
      </c>
      <c r="G197" s="5">
        <v>36048</v>
      </c>
      <c r="H197" s="5">
        <v>1</v>
      </c>
      <c r="I197" s="5" t="s">
        <v>464</v>
      </c>
      <c r="J197" s="5">
        <v>0</v>
      </c>
      <c r="K197" s="5" t="s">
        <v>71</v>
      </c>
    </row>
    <row r="198">
      <c r="A198" s="0" t="s">
        <v>465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 t="s">
        <v>71</v>
      </c>
      <c r="J198" s="5">
        <v>0</v>
      </c>
      <c r="K198" s="5" t="s">
        <v>71</v>
      </c>
    </row>
    <row r="199">
      <c r="A199" s="0" t="s">
        <v>466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2</v>
      </c>
      <c r="I199" s="5" t="s">
        <v>71</v>
      </c>
      <c r="J199" s="5">
        <v>0</v>
      </c>
      <c r="K199" s="5" t="s">
        <v>71</v>
      </c>
    </row>
    <row r="200">
      <c r="A200" s="0" t="s">
        <v>467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1</v>
      </c>
      <c r="I200" s="5" t="s">
        <v>71</v>
      </c>
      <c r="J200" s="5">
        <v>0</v>
      </c>
      <c r="K200" s="5" t="s">
        <v>71</v>
      </c>
    </row>
    <row r="201">
      <c r="A201" s="0" t="s">
        <v>468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1</v>
      </c>
      <c r="I201" s="5" t="s">
        <v>71</v>
      </c>
      <c r="J201" s="5">
        <v>0</v>
      </c>
      <c r="K201" s="5" t="s">
        <v>71</v>
      </c>
    </row>
    <row r="202">
      <c r="A202" s="0" t="s">
        <v>469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 t="s">
        <v>71</v>
      </c>
      <c r="J202" s="5">
        <v>0</v>
      </c>
      <c r="K202" s="5" t="s">
        <v>71</v>
      </c>
    </row>
    <row r="203">
      <c r="A203" s="0" t="s">
        <v>470</v>
      </c>
      <c r="B203" s="5">
        <v>1</v>
      </c>
      <c r="C203" s="5">
        <v>455.61</v>
      </c>
      <c r="D203" s="5">
        <v>237583</v>
      </c>
      <c r="E203" s="5">
        <v>1138236.84</v>
      </c>
      <c r="F203" s="5">
        <v>237584</v>
      </c>
      <c r="G203" s="5">
        <v>1138692.45</v>
      </c>
      <c r="H203" s="5">
        <v>13</v>
      </c>
      <c r="I203" s="5" t="s">
        <v>471</v>
      </c>
      <c r="J203" s="5">
        <v>1544015</v>
      </c>
      <c r="K203" s="5" t="s">
        <v>472</v>
      </c>
    </row>
    <row r="204">
      <c r="A204" s="0" t="s">
        <v>473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1</v>
      </c>
      <c r="I204" s="5" t="s">
        <v>71</v>
      </c>
      <c r="J204" s="5">
        <v>0</v>
      </c>
      <c r="K204" s="5" t="s">
        <v>71</v>
      </c>
    </row>
    <row r="205">
      <c r="A205" s="0" t="s">
        <v>474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1</v>
      </c>
      <c r="I205" s="5" t="s">
        <v>71</v>
      </c>
      <c r="J205" s="5">
        <v>0</v>
      </c>
      <c r="K205" s="5" t="s">
        <v>71</v>
      </c>
    </row>
    <row r="206">
      <c r="A206" s="0" t="s">
        <v>475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1</v>
      </c>
      <c r="I206" s="5" t="s">
        <v>71</v>
      </c>
      <c r="J206" s="5">
        <v>0</v>
      </c>
      <c r="K206" s="5" t="s">
        <v>71</v>
      </c>
    </row>
    <row r="207">
      <c r="A207" s="0" t="s">
        <v>476</v>
      </c>
      <c r="B207" s="5">
        <v>1</v>
      </c>
      <c r="C207" s="5">
        <v>455.61</v>
      </c>
      <c r="D207" s="5">
        <v>1</v>
      </c>
      <c r="E207" s="5">
        <v>168.22</v>
      </c>
      <c r="F207" s="5">
        <v>2</v>
      </c>
      <c r="G207" s="5">
        <v>623.83</v>
      </c>
      <c r="H207" s="5">
        <v>1</v>
      </c>
      <c r="I207" s="5" t="s">
        <v>458</v>
      </c>
      <c r="J207" s="5">
        <v>0</v>
      </c>
      <c r="K207" s="5" t="s">
        <v>71</v>
      </c>
    </row>
    <row r="208">
      <c r="A208" s="0" t="s">
        <v>477</v>
      </c>
      <c r="B208" s="5">
        <v>0</v>
      </c>
      <c r="C208" s="5">
        <v>0</v>
      </c>
      <c r="D208" s="5">
        <v>1</v>
      </c>
      <c r="E208" s="5">
        <v>350</v>
      </c>
      <c r="F208" s="5">
        <v>1</v>
      </c>
      <c r="G208" s="5">
        <v>350</v>
      </c>
      <c r="H208" s="5">
        <v>1</v>
      </c>
      <c r="I208" s="5" t="s">
        <v>110</v>
      </c>
      <c r="J208" s="5">
        <v>0</v>
      </c>
      <c r="K208" s="5" t="s">
        <v>71</v>
      </c>
    </row>
    <row r="209">
      <c r="A209" s="0" t="s">
        <v>478</v>
      </c>
      <c r="B209" s="5">
        <v>0</v>
      </c>
      <c r="C209" s="5">
        <v>0</v>
      </c>
      <c r="D209" s="5">
        <v>184001</v>
      </c>
      <c r="E209" s="5">
        <v>182315.32</v>
      </c>
      <c r="F209" s="5">
        <v>184001</v>
      </c>
      <c r="G209" s="5">
        <v>182315.32</v>
      </c>
      <c r="H209" s="5">
        <v>1</v>
      </c>
      <c r="I209" s="5" t="s">
        <v>479</v>
      </c>
      <c r="J209" s="5">
        <v>209348</v>
      </c>
      <c r="K209" s="5" t="s">
        <v>480</v>
      </c>
    </row>
    <row r="210">
      <c r="A210" s="0" t="s">
        <v>481</v>
      </c>
      <c r="B210" s="5">
        <v>0</v>
      </c>
      <c r="C210" s="5">
        <v>0</v>
      </c>
      <c r="D210" s="5">
        <v>45775</v>
      </c>
      <c r="E210" s="5">
        <v>693108.29999999993</v>
      </c>
      <c r="F210" s="5">
        <v>45775</v>
      </c>
      <c r="G210" s="5">
        <v>693108.29999999993</v>
      </c>
      <c r="H210" s="5">
        <v>1</v>
      </c>
      <c r="I210" s="5" t="s">
        <v>482</v>
      </c>
      <c r="J210" s="5">
        <v>0</v>
      </c>
      <c r="K210" s="5" t="s">
        <v>71</v>
      </c>
    </row>
    <row r="211">
      <c r="A211" s="0" t="s">
        <v>483</v>
      </c>
      <c r="B211" s="5">
        <v>0</v>
      </c>
      <c r="C211" s="5">
        <v>0</v>
      </c>
      <c r="D211" s="5">
        <v>2</v>
      </c>
      <c r="E211" s="5">
        <v>1999.9999999999998</v>
      </c>
      <c r="F211" s="5">
        <v>2</v>
      </c>
      <c r="G211" s="5">
        <v>1999.9999999999998</v>
      </c>
      <c r="H211" s="5">
        <v>1</v>
      </c>
      <c r="I211" s="5" t="s">
        <v>458</v>
      </c>
      <c r="J211" s="5">
        <v>0</v>
      </c>
      <c r="K211" s="5" t="s">
        <v>71</v>
      </c>
    </row>
    <row r="212">
      <c r="A212" s="0" t="s">
        <v>484</v>
      </c>
      <c r="B212" s="5">
        <v>0</v>
      </c>
      <c r="C212" s="5">
        <v>0</v>
      </c>
      <c r="D212" s="5">
        <v>1</v>
      </c>
      <c r="E212" s="5">
        <v>1995</v>
      </c>
      <c r="F212" s="5">
        <v>1</v>
      </c>
      <c r="G212" s="5">
        <v>1995</v>
      </c>
      <c r="H212" s="5">
        <v>1</v>
      </c>
      <c r="I212" s="5" t="s">
        <v>110</v>
      </c>
      <c r="J212" s="5">
        <v>1334667</v>
      </c>
      <c r="K212" s="5" t="s">
        <v>485</v>
      </c>
    </row>
    <row r="213">
      <c r="A213" s="0" t="s">
        <v>486</v>
      </c>
      <c r="B213" s="5">
        <v>0</v>
      </c>
      <c r="C213" s="5">
        <v>0</v>
      </c>
      <c r="D213" s="5">
        <v>7800</v>
      </c>
      <c r="E213" s="5">
        <v>253500</v>
      </c>
      <c r="F213" s="5">
        <v>7800</v>
      </c>
      <c r="G213" s="5">
        <v>253500</v>
      </c>
      <c r="H213" s="5">
        <v>1</v>
      </c>
      <c r="I213" s="5" t="s">
        <v>487</v>
      </c>
      <c r="J213" s="5">
        <v>0</v>
      </c>
      <c r="K213" s="5" t="s">
        <v>71</v>
      </c>
    </row>
    <row r="214">
      <c r="A214" s="0" t="s">
        <v>488</v>
      </c>
      <c r="B214" s="5">
        <v>0</v>
      </c>
      <c r="C214" s="5">
        <v>0</v>
      </c>
      <c r="D214" s="5">
        <v>2</v>
      </c>
      <c r="E214" s="5">
        <v>4800</v>
      </c>
      <c r="F214" s="5">
        <v>2</v>
      </c>
      <c r="G214" s="5">
        <v>4800</v>
      </c>
      <c r="H214" s="5">
        <v>1</v>
      </c>
      <c r="I214" s="5" t="s">
        <v>458</v>
      </c>
      <c r="J214" s="5">
        <v>0</v>
      </c>
      <c r="K214" s="5" t="s">
        <v>71</v>
      </c>
    </row>
    <row r="215">
      <c r="A215" s="0" t="s">
        <v>489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1</v>
      </c>
      <c r="I215" s="5" t="s">
        <v>71</v>
      </c>
      <c r="J215" s="5">
        <v>0</v>
      </c>
      <c r="K215" s="5" t="s">
        <v>71</v>
      </c>
    </row>
    <row r="216">
      <c r="A216" s="0" t="s">
        <v>490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1</v>
      </c>
      <c r="I216" s="5" t="s">
        <v>71</v>
      </c>
      <c r="J216" s="5">
        <v>0</v>
      </c>
      <c r="K216" s="5" t="s">
        <v>71</v>
      </c>
    </row>
    <row r="217">
      <c r="A217" s="0" t="s">
        <v>491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 t="s">
        <v>71</v>
      </c>
      <c r="J217" s="5">
        <v>0</v>
      </c>
      <c r="K217" s="5" t="s">
        <v>71</v>
      </c>
    </row>
    <row r="218">
      <c r="A218" s="0" t="s">
        <v>492</v>
      </c>
      <c r="B218" s="5">
        <v>0</v>
      </c>
      <c r="C218" s="5">
        <v>0</v>
      </c>
      <c r="D218" s="5">
        <v>8997.75</v>
      </c>
      <c r="E218" s="5">
        <v>1279137.69</v>
      </c>
      <c r="F218" s="5">
        <v>8997.75</v>
      </c>
      <c r="G218" s="5">
        <v>1279137.69</v>
      </c>
      <c r="H218" s="5">
        <v>7</v>
      </c>
      <c r="I218" s="5" t="s">
        <v>493</v>
      </c>
      <c r="J218" s="5">
        <v>1217607</v>
      </c>
      <c r="K218" s="5" t="s">
        <v>494</v>
      </c>
    </row>
    <row r="219">
      <c r="A219" s="0" t="s">
        <v>495</v>
      </c>
      <c r="B219" s="5">
        <v>0</v>
      </c>
      <c r="C219" s="5">
        <v>0</v>
      </c>
      <c r="D219" s="5">
        <v>550</v>
      </c>
      <c r="E219" s="5">
        <v>61211.100000000006</v>
      </c>
      <c r="F219" s="5">
        <v>550</v>
      </c>
      <c r="G219" s="5">
        <v>61211.100000000006</v>
      </c>
      <c r="H219" s="5">
        <v>1</v>
      </c>
      <c r="I219" s="5" t="s">
        <v>496</v>
      </c>
      <c r="J219" s="5">
        <v>0</v>
      </c>
      <c r="K219" s="5" t="s">
        <v>71</v>
      </c>
    </row>
    <row r="220">
      <c r="A220" s="0" t="s">
        <v>497</v>
      </c>
      <c r="B220" s="5">
        <v>0</v>
      </c>
      <c r="C220" s="5">
        <v>0</v>
      </c>
      <c r="D220" s="5">
        <v>444.00000000000006</v>
      </c>
      <c r="E220" s="5">
        <v>47022.29</v>
      </c>
      <c r="F220" s="5">
        <v>444.00000000000006</v>
      </c>
      <c r="G220" s="5">
        <v>47022.29</v>
      </c>
      <c r="H220" s="5">
        <v>1</v>
      </c>
      <c r="I220" s="5" t="s">
        <v>498</v>
      </c>
      <c r="J220" s="5">
        <v>0</v>
      </c>
      <c r="K220" s="5" t="s">
        <v>71</v>
      </c>
    </row>
    <row r="221">
      <c r="A221" s="0" t="s">
        <v>499</v>
      </c>
      <c r="B221" s="5">
        <v>0</v>
      </c>
      <c r="C221" s="5">
        <v>0</v>
      </c>
      <c r="D221" s="5">
        <v>2923</v>
      </c>
      <c r="E221" s="5">
        <v>194572.72</v>
      </c>
      <c r="F221" s="5">
        <v>2923</v>
      </c>
      <c r="G221" s="5">
        <v>194572.72</v>
      </c>
      <c r="H221" s="5">
        <v>1</v>
      </c>
      <c r="I221" s="5" t="s">
        <v>500</v>
      </c>
      <c r="J221" s="5">
        <v>147212</v>
      </c>
      <c r="K221" s="5" t="s">
        <v>501</v>
      </c>
    </row>
    <row r="222">
      <c r="A222" s="0" t="s">
        <v>502</v>
      </c>
      <c r="B222" s="5">
        <v>0</v>
      </c>
      <c r="C222" s="5">
        <v>0</v>
      </c>
      <c r="D222" s="5">
        <v>3427.7499999999995</v>
      </c>
      <c r="E222" s="5">
        <v>801218.02</v>
      </c>
      <c r="F222" s="5">
        <v>3427.7499999999995</v>
      </c>
      <c r="G222" s="5">
        <v>801218.02</v>
      </c>
      <c r="H222" s="5">
        <v>1</v>
      </c>
      <c r="I222" s="5" t="s">
        <v>503</v>
      </c>
      <c r="J222" s="5">
        <v>807895</v>
      </c>
      <c r="K222" s="5" t="s">
        <v>504</v>
      </c>
    </row>
    <row r="223">
      <c r="A223" s="0" t="s">
        <v>505</v>
      </c>
      <c r="B223" s="5">
        <v>0</v>
      </c>
      <c r="C223" s="5">
        <v>0</v>
      </c>
      <c r="D223" s="5">
        <v>302</v>
      </c>
      <c r="E223" s="5">
        <v>40544.200000000004</v>
      </c>
      <c r="F223" s="5">
        <v>302</v>
      </c>
      <c r="G223" s="5">
        <v>40544.200000000004</v>
      </c>
      <c r="H223" s="5">
        <v>1</v>
      </c>
      <c r="I223" s="5" t="s">
        <v>506</v>
      </c>
      <c r="J223" s="5">
        <v>64882</v>
      </c>
      <c r="K223" s="5" t="s">
        <v>507</v>
      </c>
    </row>
    <row r="224">
      <c r="A224" s="0" t="s">
        <v>508</v>
      </c>
      <c r="B224" s="5">
        <v>0</v>
      </c>
      <c r="C224" s="5">
        <v>0</v>
      </c>
      <c r="D224" s="5">
        <v>550</v>
      </c>
      <c r="E224" s="5">
        <v>69939.36</v>
      </c>
      <c r="F224" s="5">
        <v>550</v>
      </c>
      <c r="G224" s="5">
        <v>69939.36</v>
      </c>
      <c r="H224" s="5">
        <v>1</v>
      </c>
      <c r="I224" s="5" t="s">
        <v>496</v>
      </c>
      <c r="J224" s="5">
        <v>0</v>
      </c>
      <c r="K224" s="5" t="s">
        <v>71</v>
      </c>
    </row>
    <row r="225">
      <c r="A225" s="0" t="s">
        <v>509</v>
      </c>
      <c r="B225" s="5">
        <v>0</v>
      </c>
      <c r="C225" s="5">
        <v>0</v>
      </c>
      <c r="D225" s="5">
        <v>801</v>
      </c>
      <c r="E225" s="5">
        <v>64630.000000000007</v>
      </c>
      <c r="F225" s="5">
        <v>801</v>
      </c>
      <c r="G225" s="5">
        <v>64630.000000000007</v>
      </c>
      <c r="H225" s="5">
        <v>1</v>
      </c>
      <c r="I225" s="5" t="s">
        <v>510</v>
      </c>
      <c r="J225" s="5">
        <v>197618</v>
      </c>
      <c r="K225" s="5" t="s">
        <v>511</v>
      </c>
    </row>
    <row r="226">
      <c r="A226" s="0" t="s">
        <v>512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 t="s">
        <v>71</v>
      </c>
      <c r="J226" s="5">
        <v>0</v>
      </c>
      <c r="K226" s="5" t="s">
        <v>71</v>
      </c>
    </row>
    <row r="227">
      <c r="A227" s="0" t="s">
        <v>513</v>
      </c>
      <c r="B227" s="5">
        <v>0</v>
      </c>
      <c r="C227" s="5">
        <v>0</v>
      </c>
      <c r="D227" s="5">
        <v>17</v>
      </c>
      <c r="E227" s="5">
        <v>19996.78</v>
      </c>
      <c r="F227" s="5">
        <v>17</v>
      </c>
      <c r="G227" s="5">
        <v>19996.78</v>
      </c>
      <c r="H227" s="5">
        <v>4</v>
      </c>
      <c r="I227" s="5" t="s">
        <v>514</v>
      </c>
      <c r="J227" s="5">
        <v>188275</v>
      </c>
      <c r="K227" s="5" t="s">
        <v>515</v>
      </c>
    </row>
    <row r="228">
      <c r="A228" s="0" t="s">
        <v>516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1</v>
      </c>
      <c r="I228" s="5" t="s">
        <v>71</v>
      </c>
      <c r="J228" s="5">
        <v>0</v>
      </c>
      <c r="K228" s="5" t="s">
        <v>71</v>
      </c>
    </row>
    <row r="229">
      <c r="A229" s="0" t="s">
        <v>517</v>
      </c>
      <c r="B229" s="5">
        <v>0</v>
      </c>
      <c r="C229" s="5">
        <v>0</v>
      </c>
      <c r="D229" s="5">
        <v>17</v>
      </c>
      <c r="E229" s="5">
        <v>19996.78</v>
      </c>
      <c r="F229" s="5">
        <v>17</v>
      </c>
      <c r="G229" s="5">
        <v>19996.78</v>
      </c>
      <c r="H229" s="5">
        <v>1</v>
      </c>
      <c r="I229" s="5" t="s">
        <v>443</v>
      </c>
      <c r="J229" s="5">
        <v>188275</v>
      </c>
      <c r="K229" s="5" t="s">
        <v>515</v>
      </c>
    </row>
    <row r="230">
      <c r="A230" s="0" t="s">
        <v>518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1</v>
      </c>
      <c r="I230" s="5" t="s">
        <v>71</v>
      </c>
      <c r="J230" s="5">
        <v>0</v>
      </c>
      <c r="K230" s="5" t="s">
        <v>71</v>
      </c>
    </row>
    <row r="231">
      <c r="A231" s="0" t="s">
        <v>519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1</v>
      </c>
      <c r="I231" s="5" t="s">
        <v>71</v>
      </c>
      <c r="J231" s="5">
        <v>0</v>
      </c>
      <c r="K231" s="5" t="s">
        <v>71</v>
      </c>
    </row>
    <row r="232">
      <c r="A232" s="0" t="s">
        <v>520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 t="s">
        <v>71</v>
      </c>
      <c r="J232" s="5">
        <v>0</v>
      </c>
      <c r="K232" s="5" t="s">
        <v>71</v>
      </c>
    </row>
    <row r="233">
      <c r="A233" s="0" t="s">
        <v>521</v>
      </c>
      <c r="B233" s="5">
        <v>0</v>
      </c>
      <c r="C233" s="5">
        <v>0</v>
      </c>
      <c r="D233" s="5">
        <v>44539</v>
      </c>
      <c r="E233" s="5">
        <v>3055416.47</v>
      </c>
      <c r="F233" s="5">
        <v>44539</v>
      </c>
      <c r="G233" s="5">
        <v>3055416.47</v>
      </c>
      <c r="H233" s="5">
        <v>4</v>
      </c>
      <c r="I233" s="5" t="s">
        <v>522</v>
      </c>
      <c r="J233" s="5">
        <v>2954333</v>
      </c>
      <c r="K233" s="5" t="s">
        <v>523</v>
      </c>
    </row>
    <row r="234">
      <c r="A234" s="0" t="s">
        <v>524</v>
      </c>
      <c r="B234" s="5">
        <v>0</v>
      </c>
      <c r="C234" s="5">
        <v>0</v>
      </c>
      <c r="D234" s="5">
        <v>23024</v>
      </c>
      <c r="E234" s="5">
        <v>719928.48</v>
      </c>
      <c r="F234" s="5">
        <v>23024</v>
      </c>
      <c r="G234" s="5">
        <v>719928.48</v>
      </c>
      <c r="H234" s="5">
        <v>1</v>
      </c>
      <c r="I234" s="5" t="s">
        <v>525</v>
      </c>
      <c r="J234" s="5">
        <v>661371</v>
      </c>
      <c r="K234" s="5" t="s">
        <v>526</v>
      </c>
    </row>
    <row r="235">
      <c r="A235" s="0" t="s">
        <v>527</v>
      </c>
      <c r="B235" s="5">
        <v>0</v>
      </c>
      <c r="C235" s="5">
        <v>0</v>
      </c>
      <c r="D235" s="5">
        <v>16516</v>
      </c>
      <c r="E235" s="5">
        <v>1889376.44</v>
      </c>
      <c r="F235" s="5">
        <v>16516</v>
      </c>
      <c r="G235" s="5">
        <v>1889376.44</v>
      </c>
      <c r="H235" s="5">
        <v>1</v>
      </c>
      <c r="I235" s="5" t="s">
        <v>528</v>
      </c>
      <c r="J235" s="5">
        <v>2137187</v>
      </c>
      <c r="K235" s="5" t="s">
        <v>529</v>
      </c>
    </row>
    <row r="236">
      <c r="A236" s="0" t="s">
        <v>530</v>
      </c>
      <c r="B236" s="5">
        <v>0</v>
      </c>
      <c r="C236" s="5">
        <v>0</v>
      </c>
      <c r="D236" s="5">
        <v>4451</v>
      </c>
      <c r="E236" s="5">
        <v>429106.08999999997</v>
      </c>
      <c r="F236" s="5">
        <v>4451</v>
      </c>
      <c r="G236" s="5">
        <v>429106.08999999997</v>
      </c>
      <c r="H236" s="5">
        <v>1</v>
      </c>
      <c r="I236" s="5" t="s">
        <v>531</v>
      </c>
      <c r="J236" s="5">
        <v>134931</v>
      </c>
      <c r="K236" s="5" t="s">
        <v>532</v>
      </c>
    </row>
    <row r="237">
      <c r="A237" s="0" t="s">
        <v>533</v>
      </c>
      <c r="B237" s="5">
        <v>0</v>
      </c>
      <c r="C237" s="5">
        <v>0</v>
      </c>
      <c r="D237" s="5">
        <v>548</v>
      </c>
      <c r="E237" s="5">
        <v>17005.46</v>
      </c>
      <c r="F237" s="5">
        <v>548</v>
      </c>
      <c r="G237" s="5">
        <v>17005.46</v>
      </c>
      <c r="H237" s="5">
        <v>1</v>
      </c>
      <c r="I237" s="5" t="s">
        <v>534</v>
      </c>
      <c r="J237" s="5">
        <v>20844</v>
      </c>
      <c r="K237" s="5" t="s">
        <v>535</v>
      </c>
    </row>
    <row r="238">
      <c r="A238" s="0" t="s">
        <v>536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 t="s">
        <v>71</v>
      </c>
      <c r="J238" s="5">
        <v>0</v>
      </c>
      <c r="K238" s="5" t="s">
        <v>71</v>
      </c>
    </row>
    <row r="239">
      <c r="A239" s="0" t="s">
        <v>537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7</v>
      </c>
      <c r="I239" s="5" t="s">
        <v>71</v>
      </c>
      <c r="J239" s="5">
        <v>0</v>
      </c>
      <c r="K239" s="5" t="s">
        <v>71</v>
      </c>
    </row>
    <row r="240">
      <c r="A240" s="0" t="s">
        <v>538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1</v>
      </c>
      <c r="I240" s="5" t="s">
        <v>71</v>
      </c>
      <c r="J240" s="5">
        <v>0</v>
      </c>
      <c r="K240" s="5" t="s">
        <v>71</v>
      </c>
    </row>
    <row r="241">
      <c r="A241" s="0" t="s">
        <v>539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1</v>
      </c>
      <c r="I241" s="5" t="s">
        <v>71</v>
      </c>
      <c r="J241" s="5">
        <v>0</v>
      </c>
      <c r="K241" s="5" t="s">
        <v>71</v>
      </c>
    </row>
    <row r="242">
      <c r="A242" s="0" t="s">
        <v>540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1</v>
      </c>
      <c r="I242" s="5" t="s">
        <v>71</v>
      </c>
      <c r="J242" s="5">
        <v>0</v>
      </c>
      <c r="K242" s="5" t="s">
        <v>71</v>
      </c>
    </row>
    <row r="243">
      <c r="A243" s="0" t="s">
        <v>541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 t="s">
        <v>71</v>
      </c>
      <c r="J243" s="5">
        <v>0</v>
      </c>
      <c r="K243" s="5" t="s">
        <v>71</v>
      </c>
    </row>
    <row r="244">
      <c r="A244" s="0" t="s">
        <v>542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1</v>
      </c>
      <c r="I244" s="5" t="s">
        <v>71</v>
      </c>
      <c r="J244" s="5">
        <v>0</v>
      </c>
      <c r="K244" s="5" t="s">
        <v>71</v>
      </c>
    </row>
    <row r="245">
      <c r="A245" s="0" t="s">
        <v>543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1</v>
      </c>
      <c r="I245" s="5" t="s">
        <v>71</v>
      </c>
      <c r="J245" s="5">
        <v>0</v>
      </c>
      <c r="K245" s="5" t="s">
        <v>71</v>
      </c>
    </row>
    <row r="246">
      <c r="A246" s="0" t="s">
        <v>544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1</v>
      </c>
      <c r="I246" s="5" t="s">
        <v>71</v>
      </c>
      <c r="J246" s="5">
        <v>0</v>
      </c>
      <c r="K246" s="5" t="s">
        <v>71</v>
      </c>
    </row>
    <row r="247">
      <c r="A247" s="0" t="s">
        <v>545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1</v>
      </c>
      <c r="I247" s="5" t="s">
        <v>71</v>
      </c>
      <c r="J247" s="5">
        <v>0</v>
      </c>
      <c r="K247" s="5" t="s">
        <v>71</v>
      </c>
    </row>
    <row r="248">
      <c r="A248" s="0" t="s">
        <v>546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1</v>
      </c>
      <c r="I248" s="5" t="s">
        <v>71</v>
      </c>
      <c r="J248" s="5">
        <v>0</v>
      </c>
      <c r="K248" s="5" t="s">
        <v>71</v>
      </c>
    </row>
    <row r="249">
      <c r="A249" s="0" t="s">
        <v>547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 t="s">
        <v>71</v>
      </c>
      <c r="J249" s="5">
        <v>0</v>
      </c>
      <c r="K249" s="5" t="s">
        <v>71</v>
      </c>
    </row>
    <row r="250">
      <c r="A250" s="0" t="s">
        <v>548</v>
      </c>
      <c r="B250" s="5">
        <v>0</v>
      </c>
      <c r="C250" s="5">
        <v>0</v>
      </c>
      <c r="D250" s="5">
        <v>833</v>
      </c>
      <c r="E250" s="5">
        <v>94955.94</v>
      </c>
      <c r="F250" s="5">
        <v>833</v>
      </c>
      <c r="G250" s="5">
        <v>94955.94</v>
      </c>
      <c r="H250" s="5">
        <v>5</v>
      </c>
      <c r="I250" s="5" t="s">
        <v>549</v>
      </c>
      <c r="J250" s="5">
        <v>220400.00000000003</v>
      </c>
      <c r="K250" s="5" t="s">
        <v>550</v>
      </c>
    </row>
    <row r="251">
      <c r="A251" s="0" t="s">
        <v>551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1</v>
      </c>
      <c r="I251" s="5" t="s">
        <v>71</v>
      </c>
      <c r="J251" s="5">
        <v>0</v>
      </c>
      <c r="K251" s="5" t="s">
        <v>71</v>
      </c>
    </row>
    <row r="252">
      <c r="A252" s="0" t="s">
        <v>552</v>
      </c>
      <c r="B252" s="5">
        <v>0</v>
      </c>
      <c r="C252" s="5">
        <v>0</v>
      </c>
      <c r="D252" s="5">
        <v>830</v>
      </c>
      <c r="E252" s="5">
        <v>91798</v>
      </c>
      <c r="F252" s="5">
        <v>830</v>
      </c>
      <c r="G252" s="5">
        <v>91798</v>
      </c>
      <c r="H252" s="5">
        <v>1</v>
      </c>
      <c r="I252" s="5" t="s">
        <v>553</v>
      </c>
      <c r="J252" s="5">
        <v>220400.00000000003</v>
      </c>
      <c r="K252" s="5" t="s">
        <v>554</v>
      </c>
    </row>
    <row r="253">
      <c r="A253" s="0" t="s">
        <v>555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1</v>
      </c>
      <c r="I253" s="5" t="s">
        <v>71</v>
      </c>
      <c r="J253" s="5">
        <v>0</v>
      </c>
      <c r="K253" s="5" t="s">
        <v>71</v>
      </c>
    </row>
    <row r="254">
      <c r="A254" s="0" t="s">
        <v>556</v>
      </c>
      <c r="B254" s="5">
        <v>0</v>
      </c>
      <c r="C254" s="5">
        <v>0</v>
      </c>
      <c r="D254" s="5">
        <v>3</v>
      </c>
      <c r="E254" s="5">
        <v>3157.94</v>
      </c>
      <c r="F254" s="5">
        <v>3</v>
      </c>
      <c r="G254" s="5">
        <v>3157.94</v>
      </c>
      <c r="H254" s="5">
        <v>1</v>
      </c>
      <c r="I254" s="5" t="s">
        <v>453</v>
      </c>
      <c r="J254" s="5">
        <v>0</v>
      </c>
      <c r="K254" s="5" t="s">
        <v>71</v>
      </c>
    </row>
    <row r="255">
      <c r="A255" s="0" t="s">
        <v>557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1</v>
      </c>
      <c r="I255" s="5" t="s">
        <v>71</v>
      </c>
      <c r="J255" s="5">
        <v>0</v>
      </c>
      <c r="K255" s="5" t="s">
        <v>71</v>
      </c>
    </row>
    <row r="256">
      <c r="A256" s="0" t="s">
        <v>558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1</v>
      </c>
      <c r="I256" s="5" t="s">
        <v>71</v>
      </c>
      <c r="J256" s="5">
        <v>0</v>
      </c>
      <c r="K256" s="5" t="s">
        <v>71</v>
      </c>
    </row>
    <row r="257">
      <c r="A257" s="0" t="s">
        <v>559</v>
      </c>
      <c r="B257" s="5">
        <v>5</v>
      </c>
      <c r="C257" s="5">
        <v>2703.5</v>
      </c>
      <c r="D257" s="5">
        <v>2517</v>
      </c>
      <c r="E257" s="5">
        <v>632043.74</v>
      </c>
      <c r="F257" s="5">
        <v>2522</v>
      </c>
      <c r="G257" s="5">
        <v>634747.24</v>
      </c>
      <c r="H257" s="5">
        <v>6</v>
      </c>
      <c r="I257" s="5" t="s">
        <v>560</v>
      </c>
      <c r="J257" s="5">
        <v>1384600</v>
      </c>
      <c r="K257" s="5" t="s">
        <v>561</v>
      </c>
    </row>
    <row r="258">
      <c r="A258" s="0" t="s">
        <v>562</v>
      </c>
      <c r="B258" s="5">
        <v>0</v>
      </c>
      <c r="C258" s="5">
        <v>0</v>
      </c>
      <c r="D258" s="5">
        <v>170</v>
      </c>
      <c r="E258" s="5">
        <v>95480.14</v>
      </c>
      <c r="F258" s="5">
        <v>170</v>
      </c>
      <c r="G258" s="5">
        <v>95480.14</v>
      </c>
      <c r="H258" s="5">
        <v>1</v>
      </c>
      <c r="I258" s="5" t="s">
        <v>563</v>
      </c>
      <c r="J258" s="5">
        <v>200940</v>
      </c>
      <c r="K258" s="5" t="s">
        <v>564</v>
      </c>
    </row>
    <row r="259">
      <c r="A259" s="0" t="s">
        <v>565</v>
      </c>
      <c r="B259" s="5">
        <v>0</v>
      </c>
      <c r="C259" s="5">
        <v>0</v>
      </c>
      <c r="D259" s="5">
        <v>349</v>
      </c>
      <c r="E259" s="5">
        <v>228400</v>
      </c>
      <c r="F259" s="5">
        <v>349</v>
      </c>
      <c r="G259" s="5">
        <v>228400</v>
      </c>
      <c r="H259" s="5">
        <v>1</v>
      </c>
      <c r="I259" s="5" t="s">
        <v>566</v>
      </c>
      <c r="J259" s="5">
        <v>811500</v>
      </c>
      <c r="K259" s="5" t="s">
        <v>567</v>
      </c>
    </row>
    <row r="260">
      <c r="A260" s="0" t="s">
        <v>568</v>
      </c>
      <c r="B260" s="5">
        <v>5</v>
      </c>
      <c r="C260" s="5">
        <v>2703.5</v>
      </c>
      <c r="D260" s="5">
        <v>1274</v>
      </c>
      <c r="E260" s="5">
        <v>74880</v>
      </c>
      <c r="F260" s="5">
        <v>1279</v>
      </c>
      <c r="G260" s="5">
        <v>77583.5</v>
      </c>
      <c r="H260" s="5">
        <v>1</v>
      </c>
      <c r="I260" s="5" t="s">
        <v>569</v>
      </c>
      <c r="J260" s="5">
        <v>372160</v>
      </c>
      <c r="K260" s="5" t="s">
        <v>570</v>
      </c>
    </row>
    <row r="261">
      <c r="A261" s="0" t="s">
        <v>571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1</v>
      </c>
      <c r="I261" s="5" t="s">
        <v>71</v>
      </c>
      <c r="J261" s="5">
        <v>0</v>
      </c>
      <c r="K261" s="5" t="s">
        <v>71</v>
      </c>
    </row>
    <row r="262">
      <c r="A262" s="0" t="s">
        <v>572</v>
      </c>
      <c r="B262" s="5">
        <v>0</v>
      </c>
      <c r="C262" s="5">
        <v>0</v>
      </c>
      <c r="D262" s="5">
        <v>723</v>
      </c>
      <c r="E262" s="5">
        <v>225283.59999999998</v>
      </c>
      <c r="F262" s="5">
        <v>723</v>
      </c>
      <c r="G262" s="5">
        <v>225283.59999999998</v>
      </c>
      <c r="H262" s="5">
        <v>1</v>
      </c>
      <c r="I262" s="5" t="s">
        <v>573</v>
      </c>
      <c r="J262" s="5">
        <v>0</v>
      </c>
      <c r="K262" s="5" t="s">
        <v>71</v>
      </c>
    </row>
    <row r="263">
      <c r="A263" s="0" t="s">
        <v>574</v>
      </c>
      <c r="B263" s="5">
        <v>0</v>
      </c>
      <c r="C263" s="5">
        <v>0</v>
      </c>
      <c r="D263" s="5">
        <v>1</v>
      </c>
      <c r="E263" s="5">
        <v>7999.9999999999991</v>
      </c>
      <c r="F263" s="5">
        <v>1</v>
      </c>
      <c r="G263" s="5">
        <v>7999.9999999999991</v>
      </c>
      <c r="H263" s="5">
        <v>1</v>
      </c>
      <c r="I263" s="5" t="s">
        <v>110</v>
      </c>
      <c r="J263" s="5">
        <v>0</v>
      </c>
      <c r="K263" s="5" t="s">
        <v>71</v>
      </c>
    </row>
    <row r="264">
      <c r="A264" s="0" t="s">
        <v>575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 t="s">
        <v>71</v>
      </c>
      <c r="J264" s="5">
        <v>0</v>
      </c>
      <c r="K264" s="5" t="s">
        <v>71</v>
      </c>
    </row>
    <row r="265">
      <c r="A265" s="0" t="s">
        <v>576</v>
      </c>
      <c r="B265" s="5">
        <v>0</v>
      </c>
      <c r="C265" s="5">
        <v>0</v>
      </c>
      <c r="D265" s="5">
        <v>661.5</v>
      </c>
      <c r="E265" s="5">
        <v>29698.6</v>
      </c>
      <c r="F265" s="5">
        <v>661.5</v>
      </c>
      <c r="G265" s="5">
        <v>29698.6</v>
      </c>
      <c r="H265" s="5">
        <v>1</v>
      </c>
      <c r="I265" s="5" t="s">
        <v>577</v>
      </c>
      <c r="J265" s="5">
        <v>72500</v>
      </c>
      <c r="K265" s="5" t="s">
        <v>578</v>
      </c>
    </row>
    <row r="266">
      <c r="A266" s="0" t="s">
        <v>579</v>
      </c>
      <c r="B266" s="5">
        <v>0</v>
      </c>
      <c r="C266" s="5">
        <v>0</v>
      </c>
      <c r="D266" s="5">
        <v>7016</v>
      </c>
      <c r="E266" s="5">
        <v>109704</v>
      </c>
      <c r="F266" s="5">
        <v>7016</v>
      </c>
      <c r="G266" s="5">
        <v>109704</v>
      </c>
      <c r="H266" s="5">
        <v>1</v>
      </c>
      <c r="I266" s="5" t="s">
        <v>580</v>
      </c>
      <c r="J266" s="5">
        <v>828279.99999999988</v>
      </c>
      <c r="K266" s="5" t="s">
        <v>581</v>
      </c>
    </row>
    <row r="267">
      <c r="A267" s="0" t="s">
        <v>582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1</v>
      </c>
      <c r="I267" s="5" t="s">
        <v>71</v>
      </c>
      <c r="J267" s="5">
        <v>0</v>
      </c>
      <c r="K267" s="5" t="s">
        <v>71</v>
      </c>
    </row>
    <row r="268">
      <c r="A268" s="0" t="s">
        <v>583</v>
      </c>
      <c r="B268" s="5">
        <v>0</v>
      </c>
      <c r="C268" s="5">
        <v>0</v>
      </c>
      <c r="D268" s="5">
        <v>-10413.099999999999</v>
      </c>
      <c r="E268" s="5">
        <v>1242789.8900000001</v>
      </c>
      <c r="F268" s="5">
        <v>-10413.099999999999</v>
      </c>
      <c r="G268" s="5">
        <v>1242789.8900000001</v>
      </c>
      <c r="H268" s="5">
        <v>3</v>
      </c>
      <c r="I268" s="5" t="s">
        <v>584</v>
      </c>
      <c r="J268" s="5">
        <v>0</v>
      </c>
      <c r="K268" s="5" t="s">
        <v>71</v>
      </c>
    </row>
    <row r="269">
      <c r="A269" s="0" t="s">
        <v>585</v>
      </c>
      <c r="B269" s="5">
        <v>0</v>
      </c>
      <c r="C269" s="5">
        <v>0</v>
      </c>
      <c r="D269" s="5">
        <v>1</v>
      </c>
      <c r="E269" s="5">
        <v>8153.2000000000007</v>
      </c>
      <c r="F269" s="5">
        <v>1</v>
      </c>
      <c r="G269" s="5">
        <v>8153.2000000000007</v>
      </c>
      <c r="H269" s="5">
        <v>1</v>
      </c>
      <c r="I269" s="5" t="s">
        <v>110</v>
      </c>
      <c r="J269" s="5">
        <v>0</v>
      </c>
      <c r="K269" s="5" t="s">
        <v>71</v>
      </c>
    </row>
    <row r="270">
      <c r="A270" s="0" t="s">
        <v>586</v>
      </c>
      <c r="B270" s="5">
        <v>0</v>
      </c>
      <c r="C270" s="5">
        <v>0</v>
      </c>
      <c r="D270" s="5">
        <v>1</v>
      </c>
      <c r="E270" s="5">
        <v>152609</v>
      </c>
      <c r="F270" s="5">
        <v>1</v>
      </c>
      <c r="G270" s="5">
        <v>152609</v>
      </c>
      <c r="H270" s="5">
        <v>1</v>
      </c>
      <c r="I270" s="5" t="s">
        <v>110</v>
      </c>
      <c r="J270" s="5">
        <v>0</v>
      </c>
      <c r="K270" s="5" t="s">
        <v>71</v>
      </c>
    </row>
    <row r="271">
      <c r="A271" s="0" t="s">
        <v>587</v>
      </c>
      <c r="B271" s="5">
        <v>0</v>
      </c>
      <c r="C271" s="5">
        <v>0</v>
      </c>
      <c r="D271" s="5">
        <v>-10415.1</v>
      </c>
      <c r="E271" s="5">
        <v>1082027.69</v>
      </c>
      <c r="F271" s="5">
        <v>-10415.1</v>
      </c>
      <c r="G271" s="5">
        <v>1082027.69</v>
      </c>
      <c r="H271" s="5">
        <v>1</v>
      </c>
      <c r="I271" s="5" t="s">
        <v>588</v>
      </c>
      <c r="J271" s="5">
        <v>0</v>
      </c>
      <c r="K271" s="5" t="s">
        <v>71</v>
      </c>
    </row>
    <row r="272">
      <c r="A272" s="0" t="s">
        <v>589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 t="s">
        <v>71</v>
      </c>
      <c r="J272" s="5">
        <v>0</v>
      </c>
      <c r="K272" s="5" t="s">
        <v>71</v>
      </c>
    </row>
    <row r="273">
      <c r="A273" s="0" t="s">
        <v>590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7</v>
      </c>
      <c r="I273" s="5" t="s">
        <v>71</v>
      </c>
      <c r="J273" s="5">
        <v>0</v>
      </c>
      <c r="K273" s="5" t="s">
        <v>71</v>
      </c>
    </row>
    <row r="274">
      <c r="A274" s="0" t="s">
        <v>591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1</v>
      </c>
      <c r="I274" s="5" t="s">
        <v>71</v>
      </c>
      <c r="J274" s="5">
        <v>0</v>
      </c>
      <c r="K274" s="5" t="s">
        <v>71</v>
      </c>
    </row>
    <row r="275">
      <c r="A275" s="0" t="s">
        <v>592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1</v>
      </c>
      <c r="I275" s="5" t="s">
        <v>71</v>
      </c>
      <c r="J275" s="5">
        <v>0</v>
      </c>
      <c r="K275" s="5" t="s">
        <v>71</v>
      </c>
    </row>
    <row r="276">
      <c r="A276" s="0" t="s">
        <v>593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1</v>
      </c>
      <c r="I276" s="5" t="s">
        <v>71</v>
      </c>
      <c r="J276" s="5">
        <v>0</v>
      </c>
      <c r="K276" s="5" t="s">
        <v>71</v>
      </c>
    </row>
    <row r="277">
      <c r="A277" s="0" t="s">
        <v>594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1</v>
      </c>
      <c r="I277" s="5" t="s">
        <v>71</v>
      </c>
      <c r="J277" s="5">
        <v>0</v>
      </c>
      <c r="K277" s="5" t="s">
        <v>71</v>
      </c>
    </row>
    <row r="278">
      <c r="A278" s="0" t="s">
        <v>595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1</v>
      </c>
      <c r="I278" s="5" t="s">
        <v>71</v>
      </c>
      <c r="J278" s="5">
        <v>0</v>
      </c>
      <c r="K278" s="5" t="s">
        <v>71</v>
      </c>
    </row>
    <row r="279">
      <c r="A279" s="0" t="s">
        <v>596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1</v>
      </c>
      <c r="I279" s="5" t="s">
        <v>71</v>
      </c>
      <c r="J279" s="5">
        <v>0</v>
      </c>
      <c r="K279" s="5" t="s">
        <v>71</v>
      </c>
    </row>
    <row r="280">
      <c r="A280" s="0" t="s">
        <v>597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1</v>
      </c>
      <c r="I280" s="5" t="s">
        <v>71</v>
      </c>
      <c r="J280" s="5">
        <v>0</v>
      </c>
      <c r="K280" s="5" t="s">
        <v>71</v>
      </c>
    </row>
    <row r="281">
      <c r="A281" s="0" t="s">
        <v>598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1</v>
      </c>
      <c r="I281" s="5" t="s">
        <v>71</v>
      </c>
      <c r="J281" s="5">
        <v>0</v>
      </c>
      <c r="K281" s="5" t="s">
        <v>71</v>
      </c>
    </row>
    <row r="282">
      <c r="A282" s="0" t="s">
        <v>599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4</v>
      </c>
      <c r="I282" s="5" t="s">
        <v>71</v>
      </c>
      <c r="J282" s="5">
        <v>0</v>
      </c>
      <c r="K282" s="5" t="s">
        <v>71</v>
      </c>
    </row>
    <row r="283">
      <c r="A283" s="0" t="s">
        <v>600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1</v>
      </c>
      <c r="I283" s="5" t="s">
        <v>71</v>
      </c>
      <c r="J283" s="5">
        <v>0</v>
      </c>
      <c r="K283" s="5" t="s">
        <v>71</v>
      </c>
    </row>
    <row r="284">
      <c r="A284" s="0" t="s">
        <v>601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1</v>
      </c>
      <c r="I284" s="5" t="s">
        <v>71</v>
      </c>
      <c r="J284" s="5">
        <v>0</v>
      </c>
      <c r="K284" s="5" t="s">
        <v>71</v>
      </c>
    </row>
    <row r="285">
      <c r="A285" s="0" t="s">
        <v>602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1</v>
      </c>
      <c r="I285" s="5" t="s">
        <v>71</v>
      </c>
      <c r="J285" s="5">
        <v>0</v>
      </c>
      <c r="K285" s="5" t="s">
        <v>71</v>
      </c>
    </row>
    <row r="286">
      <c r="A286" s="0" t="s">
        <v>603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1</v>
      </c>
      <c r="I286" s="5" t="s">
        <v>71</v>
      </c>
      <c r="J286" s="5">
        <v>0</v>
      </c>
      <c r="K286" s="5" t="s">
        <v>71</v>
      </c>
    </row>
    <row r="287">
      <c r="A287" s="0" t="s">
        <v>604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 t="s">
        <v>71</v>
      </c>
      <c r="J287" s="5">
        <v>0</v>
      </c>
      <c r="K287" s="5" t="s">
        <v>71</v>
      </c>
    </row>
    <row r="288">
      <c r="A288" s="0" t="s">
        <v>605</v>
      </c>
      <c r="B288" s="5">
        <v>0</v>
      </c>
      <c r="C288" s="5">
        <v>0</v>
      </c>
      <c r="D288" s="5">
        <v>163.6</v>
      </c>
      <c r="E288" s="5">
        <v>49970.4</v>
      </c>
      <c r="F288" s="5">
        <v>163.6</v>
      </c>
      <c r="G288" s="5">
        <v>49970.4</v>
      </c>
      <c r="H288" s="5">
        <v>9</v>
      </c>
      <c r="I288" s="5" t="s">
        <v>606</v>
      </c>
      <c r="J288" s="5">
        <v>79625</v>
      </c>
      <c r="K288" s="5" t="s">
        <v>607</v>
      </c>
    </row>
    <row r="289">
      <c r="A289" s="0" t="s">
        <v>608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1</v>
      </c>
      <c r="I289" s="5" t="s">
        <v>71</v>
      </c>
      <c r="J289" s="5">
        <v>0</v>
      </c>
      <c r="K289" s="5" t="s">
        <v>71</v>
      </c>
    </row>
    <row r="290">
      <c r="A290" s="0" t="s">
        <v>609</v>
      </c>
      <c r="B290" s="5">
        <v>0</v>
      </c>
      <c r="C290" s="5">
        <v>0</v>
      </c>
      <c r="D290" s="5">
        <v>310</v>
      </c>
      <c r="E290" s="5">
        <v>51459.999999999993</v>
      </c>
      <c r="F290" s="5">
        <v>310</v>
      </c>
      <c r="G290" s="5">
        <v>51459.999999999993</v>
      </c>
      <c r="H290" s="5">
        <v>1</v>
      </c>
      <c r="I290" s="5" t="s">
        <v>610</v>
      </c>
      <c r="J290" s="5">
        <v>79625</v>
      </c>
      <c r="K290" s="5" t="s">
        <v>611</v>
      </c>
    </row>
    <row r="291">
      <c r="A291" s="0" t="s">
        <v>612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1</v>
      </c>
      <c r="I291" s="5" t="s">
        <v>71</v>
      </c>
      <c r="J291" s="5">
        <v>0</v>
      </c>
      <c r="K291" s="5" t="s">
        <v>71</v>
      </c>
    </row>
    <row r="292">
      <c r="A292" s="0" t="s">
        <v>613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1</v>
      </c>
      <c r="I292" s="5" t="s">
        <v>71</v>
      </c>
      <c r="J292" s="5">
        <v>0</v>
      </c>
      <c r="K292" s="5" t="s">
        <v>71</v>
      </c>
    </row>
    <row r="293">
      <c r="A293" s="0" t="s">
        <v>614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1</v>
      </c>
      <c r="I293" s="5" t="s">
        <v>71</v>
      </c>
      <c r="J293" s="5">
        <v>0</v>
      </c>
      <c r="K293" s="5" t="s">
        <v>71</v>
      </c>
    </row>
    <row r="294">
      <c r="A294" s="0" t="s">
        <v>615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1</v>
      </c>
      <c r="I294" s="5" t="s">
        <v>71</v>
      </c>
      <c r="J294" s="5">
        <v>0</v>
      </c>
      <c r="K294" s="5" t="s">
        <v>71</v>
      </c>
    </row>
    <row r="295">
      <c r="A295" s="0" t="s">
        <v>616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1</v>
      </c>
      <c r="I295" s="5" t="s">
        <v>71</v>
      </c>
      <c r="J295" s="5">
        <v>0</v>
      </c>
      <c r="K295" s="5" t="s">
        <v>71</v>
      </c>
    </row>
    <row r="296">
      <c r="A296" s="0" t="s">
        <v>617</v>
      </c>
      <c r="B296" s="5">
        <v>0</v>
      </c>
      <c r="C296" s="5">
        <v>0</v>
      </c>
      <c r="D296" s="5">
        <v>-146.4</v>
      </c>
      <c r="E296" s="5">
        <v>-1489.6000000000001</v>
      </c>
      <c r="F296" s="5">
        <v>-146.4</v>
      </c>
      <c r="G296" s="5">
        <v>-1489.6000000000001</v>
      </c>
      <c r="H296" s="5">
        <v>1</v>
      </c>
      <c r="I296" s="5" t="s">
        <v>618</v>
      </c>
      <c r="J296" s="5">
        <v>0</v>
      </c>
      <c r="K296" s="5" t="s">
        <v>71</v>
      </c>
    </row>
    <row r="297">
      <c r="A297" s="0" t="s">
        <v>619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1</v>
      </c>
      <c r="I297" s="5" t="s">
        <v>71</v>
      </c>
      <c r="J297" s="5">
        <v>0</v>
      </c>
      <c r="K297" s="5" t="s">
        <v>71</v>
      </c>
    </row>
    <row r="298">
      <c r="A298" s="0" t="s">
        <v>620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 t="s">
        <v>71</v>
      </c>
      <c r="J298" s="5">
        <v>0</v>
      </c>
      <c r="K298" s="5" t="s">
        <v>71</v>
      </c>
    </row>
    <row r="299">
      <c r="A299" s="0" t="s">
        <v>621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5</v>
      </c>
      <c r="I299" s="5" t="s">
        <v>71</v>
      </c>
      <c r="J299" s="5">
        <v>0</v>
      </c>
      <c r="K299" s="5" t="s">
        <v>71</v>
      </c>
    </row>
    <row r="300">
      <c r="A300" s="0" t="s">
        <v>622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1</v>
      </c>
      <c r="I300" s="5" t="s">
        <v>71</v>
      </c>
      <c r="J300" s="5">
        <v>0</v>
      </c>
      <c r="K300" s="5" t="s">
        <v>71</v>
      </c>
    </row>
    <row r="301">
      <c r="A301" s="0" t="s">
        <v>623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1</v>
      </c>
      <c r="I301" s="5" t="s">
        <v>71</v>
      </c>
      <c r="J301" s="5">
        <v>0</v>
      </c>
      <c r="K301" s="5" t="s">
        <v>71</v>
      </c>
    </row>
    <row r="302">
      <c r="A302" s="0" t="s">
        <v>624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1</v>
      </c>
      <c r="I302" s="5" t="s">
        <v>71</v>
      </c>
      <c r="J302" s="5">
        <v>0</v>
      </c>
      <c r="K302" s="5" t="s">
        <v>71</v>
      </c>
    </row>
    <row r="303">
      <c r="A303" s="0" t="s">
        <v>625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1</v>
      </c>
      <c r="I303" s="5" t="s">
        <v>71</v>
      </c>
      <c r="J303" s="5">
        <v>0</v>
      </c>
      <c r="K303" s="5" t="s">
        <v>71</v>
      </c>
    </row>
    <row r="304">
      <c r="A304" s="0" t="s">
        <v>626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1</v>
      </c>
      <c r="I304" s="5" t="s">
        <v>71</v>
      </c>
      <c r="J304" s="5">
        <v>0</v>
      </c>
      <c r="K304" s="5" t="s">
        <v>71</v>
      </c>
    </row>
    <row r="305">
      <c r="A305" s="0" t="s">
        <v>627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 t="s">
        <v>71</v>
      </c>
      <c r="J305" s="5">
        <v>0</v>
      </c>
      <c r="K305" s="5" t="s">
        <v>71</v>
      </c>
    </row>
    <row r="306">
      <c r="A306" s="0" t="s">
        <v>628</v>
      </c>
      <c r="B306" s="5">
        <v>0</v>
      </c>
      <c r="C306" s="5">
        <v>0</v>
      </c>
      <c r="D306" s="5">
        <v>540</v>
      </c>
      <c r="E306" s="5">
        <v>226445.77</v>
      </c>
      <c r="F306" s="5">
        <v>540</v>
      </c>
      <c r="G306" s="5">
        <v>226445.77</v>
      </c>
      <c r="H306" s="5">
        <v>6</v>
      </c>
      <c r="I306" s="5" t="s">
        <v>629</v>
      </c>
      <c r="J306" s="5">
        <v>64353</v>
      </c>
      <c r="K306" s="5" t="s">
        <v>630</v>
      </c>
    </row>
    <row r="307">
      <c r="A307" s="0" t="s">
        <v>631</v>
      </c>
      <c r="B307" s="5">
        <v>0</v>
      </c>
      <c r="C307" s="5">
        <v>0</v>
      </c>
      <c r="D307" s="5">
        <v>515</v>
      </c>
      <c r="E307" s="5">
        <v>218780.24</v>
      </c>
      <c r="F307" s="5">
        <v>515</v>
      </c>
      <c r="G307" s="5">
        <v>218780.24</v>
      </c>
      <c r="H307" s="5">
        <v>1</v>
      </c>
      <c r="I307" s="5" t="s">
        <v>632</v>
      </c>
      <c r="J307" s="5">
        <v>43053</v>
      </c>
      <c r="K307" s="5" t="s">
        <v>633</v>
      </c>
    </row>
    <row r="308">
      <c r="A308" s="0" t="s">
        <v>634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1</v>
      </c>
      <c r="I308" s="5" t="s">
        <v>71</v>
      </c>
      <c r="J308" s="5">
        <v>0</v>
      </c>
      <c r="K308" s="5" t="s">
        <v>71</v>
      </c>
    </row>
    <row r="309">
      <c r="A309" s="0" t="s">
        <v>635</v>
      </c>
      <c r="B309" s="5">
        <v>0</v>
      </c>
      <c r="C309" s="5">
        <v>0</v>
      </c>
      <c r="D309" s="5">
        <v>3</v>
      </c>
      <c r="E309" s="5">
        <v>1542.06</v>
      </c>
      <c r="F309" s="5">
        <v>3</v>
      </c>
      <c r="G309" s="5">
        <v>1542.06</v>
      </c>
      <c r="H309" s="5">
        <v>1</v>
      </c>
      <c r="I309" s="5" t="s">
        <v>453</v>
      </c>
      <c r="J309" s="5">
        <v>0</v>
      </c>
      <c r="K309" s="5" t="s">
        <v>71</v>
      </c>
    </row>
    <row r="310">
      <c r="A310" s="0" t="s">
        <v>636</v>
      </c>
      <c r="B310" s="5">
        <v>0</v>
      </c>
      <c r="C310" s="5">
        <v>0</v>
      </c>
      <c r="D310" s="5">
        <v>22</v>
      </c>
      <c r="E310" s="5">
        <v>6123.4699999999993</v>
      </c>
      <c r="F310" s="5">
        <v>22</v>
      </c>
      <c r="G310" s="5">
        <v>6123.4699999999993</v>
      </c>
      <c r="H310" s="5">
        <v>1</v>
      </c>
      <c r="I310" s="5" t="s">
        <v>637</v>
      </c>
      <c r="J310" s="5">
        <v>0</v>
      </c>
      <c r="K310" s="5" t="s">
        <v>71</v>
      </c>
    </row>
    <row r="311">
      <c r="A311" s="0" t="s">
        <v>638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1</v>
      </c>
      <c r="I311" s="5" t="s">
        <v>71</v>
      </c>
      <c r="J311" s="5">
        <v>0</v>
      </c>
      <c r="K311" s="5" t="s">
        <v>71</v>
      </c>
    </row>
    <row r="312">
      <c r="A312" s="0" t="s">
        <v>639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1</v>
      </c>
      <c r="I312" s="5" t="s">
        <v>71</v>
      </c>
      <c r="J312" s="5">
        <v>21300</v>
      </c>
      <c r="K312" s="5" t="s">
        <v>71</v>
      </c>
    </row>
    <row r="313">
      <c r="A313" s="0" t="s">
        <v>640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 t="s">
        <v>71</v>
      </c>
      <c r="J313" s="5">
        <v>0</v>
      </c>
      <c r="K313" s="5" t="s">
        <v>71</v>
      </c>
    </row>
    <row r="314">
      <c r="A314" s="0" t="s">
        <v>641</v>
      </c>
      <c r="B314" s="5">
        <v>0</v>
      </c>
      <c r="C314" s="5">
        <v>0</v>
      </c>
      <c r="D314" s="5">
        <v>50</v>
      </c>
      <c r="E314" s="5">
        <v>24189.95</v>
      </c>
      <c r="F314" s="5">
        <v>50</v>
      </c>
      <c r="G314" s="5">
        <v>24189.95</v>
      </c>
      <c r="H314" s="5">
        <v>2</v>
      </c>
      <c r="I314" s="5" t="s">
        <v>642</v>
      </c>
      <c r="J314" s="5">
        <v>0</v>
      </c>
      <c r="K314" s="5" t="s">
        <v>71</v>
      </c>
    </row>
    <row r="315">
      <c r="A315" s="0" t="s">
        <v>643</v>
      </c>
      <c r="B315" s="5">
        <v>0</v>
      </c>
      <c r="C315" s="5">
        <v>0</v>
      </c>
      <c r="D315" s="5">
        <v>47</v>
      </c>
      <c r="E315" s="5">
        <v>16499.95</v>
      </c>
      <c r="F315" s="5">
        <v>47</v>
      </c>
      <c r="G315" s="5">
        <v>16499.95</v>
      </c>
      <c r="H315" s="5">
        <v>1</v>
      </c>
      <c r="I315" s="5" t="s">
        <v>644</v>
      </c>
      <c r="J315" s="5">
        <v>0</v>
      </c>
      <c r="K315" s="5" t="s">
        <v>71</v>
      </c>
    </row>
    <row r="316">
      <c r="A316" s="0" t="s">
        <v>645</v>
      </c>
      <c r="B316" s="5">
        <v>0</v>
      </c>
      <c r="C316" s="5">
        <v>0</v>
      </c>
      <c r="D316" s="5">
        <v>3</v>
      </c>
      <c r="E316" s="5">
        <v>7690</v>
      </c>
      <c r="F316" s="5">
        <v>3</v>
      </c>
      <c r="G316" s="5">
        <v>7690</v>
      </c>
      <c r="H316" s="5">
        <v>1</v>
      </c>
      <c r="I316" s="5" t="s">
        <v>453</v>
      </c>
      <c r="J316" s="5">
        <v>0</v>
      </c>
      <c r="K316" s="5" t="s">
        <v>71</v>
      </c>
    </row>
    <row r="317">
      <c r="A317" s="0" t="s">
        <v>646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 t="s">
        <v>71</v>
      </c>
      <c r="J317" s="5">
        <v>0</v>
      </c>
      <c r="K317" s="5" t="s">
        <v>71</v>
      </c>
    </row>
    <row r="318">
      <c r="A318" s="0" t="s">
        <v>647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1</v>
      </c>
      <c r="I318" s="5" t="s">
        <v>71</v>
      </c>
      <c r="J318" s="5">
        <v>0</v>
      </c>
      <c r="K318" s="5" t="s">
        <v>71</v>
      </c>
    </row>
    <row r="319">
      <c r="A319" s="0" t="s">
        <v>648</v>
      </c>
      <c r="B319" s="5">
        <v>0</v>
      </c>
      <c r="C319" s="5">
        <v>0</v>
      </c>
      <c r="D319" s="5">
        <v>82</v>
      </c>
      <c r="E319" s="5">
        <v>17526</v>
      </c>
      <c r="F319" s="5">
        <v>82</v>
      </c>
      <c r="G319" s="5">
        <v>17526</v>
      </c>
      <c r="H319" s="5">
        <v>1</v>
      </c>
      <c r="I319" s="5" t="s">
        <v>649</v>
      </c>
      <c r="J319" s="5">
        <v>70104</v>
      </c>
      <c r="K319" s="5" t="s">
        <v>650</v>
      </c>
    </row>
    <row r="320">
      <c r="A320" s="0" t="s">
        <v>651</v>
      </c>
      <c r="B320" s="5">
        <v>0</v>
      </c>
      <c r="C320" s="5">
        <v>0</v>
      </c>
      <c r="D320" s="5">
        <v>16</v>
      </c>
      <c r="E320" s="5">
        <v>13799.999999999998</v>
      </c>
      <c r="F320" s="5">
        <v>16</v>
      </c>
      <c r="G320" s="5">
        <v>13799.999999999998</v>
      </c>
      <c r="H320" s="5">
        <v>2</v>
      </c>
      <c r="I320" s="5" t="s">
        <v>253</v>
      </c>
      <c r="J320" s="5">
        <v>0</v>
      </c>
      <c r="K320" s="5" t="s">
        <v>71</v>
      </c>
    </row>
    <row r="321">
      <c r="A321" s="0" t="s">
        <v>652</v>
      </c>
      <c r="B321" s="5">
        <v>0</v>
      </c>
      <c r="C321" s="5">
        <v>0</v>
      </c>
      <c r="D321" s="5">
        <v>16</v>
      </c>
      <c r="E321" s="5">
        <v>13799.999999999998</v>
      </c>
      <c r="F321" s="5">
        <v>16</v>
      </c>
      <c r="G321" s="5">
        <v>13799.999999999998</v>
      </c>
      <c r="H321" s="5">
        <v>1</v>
      </c>
      <c r="I321" s="5" t="s">
        <v>653</v>
      </c>
      <c r="J321" s="5">
        <v>0</v>
      </c>
      <c r="K321" s="5" t="s">
        <v>71</v>
      </c>
    </row>
    <row r="322">
      <c r="A322" s="0" t="s">
        <v>654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1</v>
      </c>
      <c r="I322" s="5" t="s">
        <v>71</v>
      </c>
      <c r="J322" s="5">
        <v>0</v>
      </c>
      <c r="K322" s="5" t="s">
        <v>71</v>
      </c>
    </row>
    <row r="323">
      <c r="A323" s="0" t="s">
        <v>655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 t="s">
        <v>71</v>
      </c>
      <c r="J323" s="5">
        <v>0</v>
      </c>
      <c r="K323" s="5" t="s">
        <v>71</v>
      </c>
    </row>
    <row r="324">
      <c r="A324" s="0" t="s">
        <v>656</v>
      </c>
      <c r="B324" s="5">
        <v>0</v>
      </c>
      <c r="C324" s="5">
        <v>0</v>
      </c>
      <c r="D324" s="5">
        <v>40</v>
      </c>
      <c r="E324" s="5">
        <v>2690</v>
      </c>
      <c r="F324" s="5">
        <v>40</v>
      </c>
      <c r="G324" s="5">
        <v>2690</v>
      </c>
      <c r="H324" s="5">
        <v>1</v>
      </c>
      <c r="I324" s="5" t="s">
        <v>657</v>
      </c>
      <c r="J324" s="5">
        <v>700</v>
      </c>
      <c r="K324" s="5" t="s">
        <v>658</v>
      </c>
    </row>
    <row r="325">
      <c r="A325" s="0" t="s">
        <v>659</v>
      </c>
      <c r="B325" s="5">
        <v>0</v>
      </c>
      <c r="C325" s="5">
        <v>0</v>
      </c>
      <c r="D325" s="5">
        <v>2610</v>
      </c>
      <c r="E325" s="5">
        <v>45120</v>
      </c>
      <c r="F325" s="5">
        <v>2610</v>
      </c>
      <c r="G325" s="5">
        <v>45120</v>
      </c>
      <c r="H325" s="5">
        <v>1</v>
      </c>
      <c r="I325" s="5" t="s">
        <v>660</v>
      </c>
      <c r="J325" s="5">
        <v>48300</v>
      </c>
      <c r="K325" s="5" t="s">
        <v>661</v>
      </c>
    </row>
    <row r="326">
      <c r="A326" s="0" t="s">
        <v>662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 t="s">
        <v>71</v>
      </c>
      <c r="J326" s="5">
        <v>0</v>
      </c>
      <c r="K326" s="5" t="s">
        <v>71</v>
      </c>
    </row>
    <row r="327">
      <c r="A327" s="0" t="s">
        <v>663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2</v>
      </c>
      <c r="I327" s="5" t="s">
        <v>71</v>
      </c>
      <c r="J327" s="5">
        <v>0</v>
      </c>
      <c r="K327" s="5" t="s">
        <v>71</v>
      </c>
    </row>
    <row r="328">
      <c r="A328" s="0" t="s">
        <v>664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1</v>
      </c>
      <c r="I328" s="5" t="s">
        <v>71</v>
      </c>
      <c r="J328" s="5">
        <v>0</v>
      </c>
      <c r="K328" s="5" t="s">
        <v>71</v>
      </c>
    </row>
    <row r="329">
      <c r="A329" s="0" t="s">
        <v>665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1</v>
      </c>
      <c r="I329" s="5" t="s">
        <v>71</v>
      </c>
      <c r="J329" s="5">
        <v>0</v>
      </c>
      <c r="K329" s="5" t="s">
        <v>71</v>
      </c>
    </row>
    <row r="330">
      <c r="A330" s="0" t="s">
        <v>666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 t="s">
        <v>71</v>
      </c>
      <c r="J330" s="5">
        <v>0</v>
      </c>
      <c r="K330" s="5" t="s">
        <v>71</v>
      </c>
    </row>
    <row r="331">
      <c r="A331" s="0" t="s">
        <v>667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1</v>
      </c>
      <c r="I331" s="5" t="s">
        <v>71</v>
      </c>
      <c r="J331" s="5">
        <v>0</v>
      </c>
      <c r="K331" s="5" t="s">
        <v>71</v>
      </c>
    </row>
    <row r="332">
      <c r="A332" s="0" t="s">
        <v>668</v>
      </c>
      <c r="B332" s="5">
        <v>0</v>
      </c>
      <c r="C332" s="5">
        <v>0</v>
      </c>
      <c r="D332" s="5">
        <v>400</v>
      </c>
      <c r="E332" s="5">
        <v>46000</v>
      </c>
      <c r="F332" s="5">
        <v>400</v>
      </c>
      <c r="G332" s="5">
        <v>46000</v>
      </c>
      <c r="H332" s="5">
        <v>3</v>
      </c>
      <c r="I332" s="5" t="s">
        <v>669</v>
      </c>
      <c r="J332" s="5">
        <v>0</v>
      </c>
      <c r="K332" s="5" t="s">
        <v>71</v>
      </c>
    </row>
    <row r="333">
      <c r="A333" s="0" t="s">
        <v>670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1</v>
      </c>
      <c r="I333" s="5" t="s">
        <v>71</v>
      </c>
      <c r="J333" s="5">
        <v>0</v>
      </c>
      <c r="K333" s="5" t="s">
        <v>71</v>
      </c>
    </row>
    <row r="334">
      <c r="A334" s="0" t="s">
        <v>671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1</v>
      </c>
      <c r="I334" s="5" t="s">
        <v>71</v>
      </c>
      <c r="J334" s="5">
        <v>0</v>
      </c>
      <c r="K334" s="5" t="s">
        <v>71</v>
      </c>
    </row>
    <row r="335">
      <c r="A335" s="0" t="s">
        <v>672</v>
      </c>
      <c r="B335" s="5">
        <v>0</v>
      </c>
      <c r="C335" s="5">
        <v>0</v>
      </c>
      <c r="D335" s="5">
        <v>400</v>
      </c>
      <c r="E335" s="5">
        <v>46000</v>
      </c>
      <c r="F335" s="5">
        <v>400</v>
      </c>
      <c r="G335" s="5">
        <v>46000</v>
      </c>
      <c r="H335" s="5">
        <v>1</v>
      </c>
      <c r="I335" s="5" t="s">
        <v>673</v>
      </c>
      <c r="J335" s="5">
        <v>0</v>
      </c>
      <c r="K335" s="5" t="s">
        <v>71</v>
      </c>
    </row>
    <row r="336">
      <c r="A336" s="0" t="s">
        <v>674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 t="s">
        <v>71</v>
      </c>
      <c r="J336" s="5">
        <v>0</v>
      </c>
      <c r="K336" s="5" t="s">
        <v>71</v>
      </c>
    </row>
    <row r="337">
      <c r="A337" s="0" t="s">
        <v>675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1</v>
      </c>
      <c r="I337" s="5" t="s">
        <v>71</v>
      </c>
      <c r="J337" s="5">
        <v>0</v>
      </c>
      <c r="K337" s="5" t="s">
        <v>71</v>
      </c>
    </row>
    <row r="338">
      <c r="A338" s="0" t="s">
        <v>676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1</v>
      </c>
      <c r="I338" s="5" t="s">
        <v>71</v>
      </c>
      <c r="J338" s="5">
        <v>0</v>
      </c>
      <c r="K338" s="5" t="s">
        <v>71</v>
      </c>
    </row>
    <row r="339">
      <c r="A339" s="0" t="s">
        <v>677</v>
      </c>
      <c r="B339" s="5">
        <v>0</v>
      </c>
      <c r="C339" s="5">
        <v>0</v>
      </c>
      <c r="D339" s="5">
        <v>1957.0000000000002</v>
      </c>
      <c r="E339" s="5">
        <v>371858.80000000005</v>
      </c>
      <c r="F339" s="5">
        <v>1957.0000000000002</v>
      </c>
      <c r="G339" s="5">
        <v>371858.80000000005</v>
      </c>
      <c r="H339" s="5">
        <v>2</v>
      </c>
      <c r="I339" s="5" t="s">
        <v>678</v>
      </c>
      <c r="J339" s="5">
        <v>178512</v>
      </c>
      <c r="K339" s="5" t="s">
        <v>679</v>
      </c>
    </row>
    <row r="340">
      <c r="A340" s="0" t="s">
        <v>680</v>
      </c>
      <c r="B340" s="5">
        <v>0</v>
      </c>
      <c r="C340" s="5">
        <v>0</v>
      </c>
      <c r="D340" s="5">
        <v>1240</v>
      </c>
      <c r="E340" s="5">
        <v>308958</v>
      </c>
      <c r="F340" s="5">
        <v>1240</v>
      </c>
      <c r="G340" s="5">
        <v>308958</v>
      </c>
      <c r="H340" s="5">
        <v>1</v>
      </c>
      <c r="I340" s="5" t="s">
        <v>681</v>
      </c>
      <c r="J340" s="5">
        <v>124200.00000000001</v>
      </c>
      <c r="K340" s="5" t="s">
        <v>682</v>
      </c>
    </row>
    <row r="341">
      <c r="A341" s="0" t="s">
        <v>683</v>
      </c>
      <c r="B341" s="5">
        <v>0</v>
      </c>
      <c r="C341" s="5">
        <v>0</v>
      </c>
      <c r="D341" s="5">
        <v>717</v>
      </c>
      <c r="E341" s="5">
        <v>62900.799999999996</v>
      </c>
      <c r="F341" s="5">
        <v>717</v>
      </c>
      <c r="G341" s="5">
        <v>62900.799999999996</v>
      </c>
      <c r="H341" s="5">
        <v>1</v>
      </c>
      <c r="I341" s="5" t="s">
        <v>684</v>
      </c>
      <c r="J341" s="5">
        <v>54312</v>
      </c>
      <c r="K341" s="5" t="s">
        <v>685</v>
      </c>
    </row>
    <row r="342">
      <c r="A342" s="0" t="s">
        <v>686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 t="s">
        <v>71</v>
      </c>
      <c r="J342" s="5">
        <v>0</v>
      </c>
      <c r="K342" s="5" t="s">
        <v>71</v>
      </c>
    </row>
    <row r="343">
      <c r="A343" s="0" t="s">
        <v>687</v>
      </c>
      <c r="B343" s="5">
        <v>2</v>
      </c>
      <c r="C343" s="5">
        <v>2476.06</v>
      </c>
      <c r="D343" s="5">
        <v>122</v>
      </c>
      <c r="E343" s="5">
        <v>122288.93</v>
      </c>
      <c r="F343" s="5">
        <v>124</v>
      </c>
      <c r="G343" s="5">
        <v>124764.99</v>
      </c>
      <c r="H343" s="5">
        <v>3</v>
      </c>
      <c r="I343" s="5" t="s">
        <v>688</v>
      </c>
      <c r="J343" s="5">
        <v>0</v>
      </c>
      <c r="K343" s="5" t="s">
        <v>71</v>
      </c>
    </row>
    <row r="344">
      <c r="A344" s="0" t="s">
        <v>689</v>
      </c>
      <c r="B344" s="5">
        <v>0</v>
      </c>
      <c r="C344" s="5">
        <v>0</v>
      </c>
      <c r="D344" s="5">
        <v>29</v>
      </c>
      <c r="E344" s="5">
        <v>31563.46</v>
      </c>
      <c r="F344" s="5">
        <v>29</v>
      </c>
      <c r="G344" s="5">
        <v>31563.46</v>
      </c>
      <c r="H344" s="5">
        <v>1</v>
      </c>
      <c r="I344" s="5" t="s">
        <v>690</v>
      </c>
      <c r="J344" s="5">
        <v>0</v>
      </c>
      <c r="K344" s="5" t="s">
        <v>71</v>
      </c>
    </row>
    <row r="345">
      <c r="A345" s="0" t="s">
        <v>691</v>
      </c>
      <c r="B345" s="5">
        <v>2</v>
      </c>
      <c r="C345" s="5">
        <v>2476.06</v>
      </c>
      <c r="D345" s="5">
        <v>49</v>
      </c>
      <c r="E345" s="5">
        <v>58763.07</v>
      </c>
      <c r="F345" s="5">
        <v>51</v>
      </c>
      <c r="G345" s="5">
        <v>61239.130000000005</v>
      </c>
      <c r="H345" s="5">
        <v>1</v>
      </c>
      <c r="I345" s="5" t="s">
        <v>692</v>
      </c>
      <c r="J345" s="5">
        <v>0</v>
      </c>
      <c r="K345" s="5" t="s">
        <v>71</v>
      </c>
    </row>
    <row r="346">
      <c r="A346" s="0" t="s">
        <v>693</v>
      </c>
      <c r="B346" s="5">
        <v>0</v>
      </c>
      <c r="C346" s="5">
        <v>0</v>
      </c>
      <c r="D346" s="5">
        <v>44</v>
      </c>
      <c r="E346" s="5">
        <v>31962.399999999998</v>
      </c>
      <c r="F346" s="5">
        <v>44</v>
      </c>
      <c r="G346" s="5">
        <v>31962.399999999998</v>
      </c>
      <c r="H346" s="5">
        <v>1</v>
      </c>
      <c r="I346" s="5" t="s">
        <v>694</v>
      </c>
      <c r="J346" s="5">
        <v>0</v>
      </c>
      <c r="K346" s="5" t="s">
        <v>71</v>
      </c>
    </row>
    <row r="347">
      <c r="A347" s="0" t="s">
        <v>695</v>
      </c>
      <c r="B347" s="5">
        <v>0</v>
      </c>
      <c r="C347" s="5">
        <v>0</v>
      </c>
      <c r="D347" s="5">
        <v>44</v>
      </c>
      <c r="E347" s="5">
        <v>31962.399999999998</v>
      </c>
      <c r="F347" s="5">
        <v>44</v>
      </c>
      <c r="G347" s="5">
        <v>31962.399999999998</v>
      </c>
      <c r="H347" s="5">
        <v>1</v>
      </c>
      <c r="I347" s="5" t="s">
        <v>694</v>
      </c>
      <c r="J347" s="5">
        <v>0</v>
      </c>
      <c r="K347" s="5" t="s">
        <v>71</v>
      </c>
    </row>
    <row r="348">
      <c r="A348" s="0" t="s">
        <v>696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2</v>
      </c>
      <c r="I348" s="5" t="s">
        <v>71</v>
      </c>
      <c r="J348" s="5">
        <v>0</v>
      </c>
      <c r="K348" s="5" t="s">
        <v>71</v>
      </c>
    </row>
    <row r="349">
      <c r="A349" s="0" t="s">
        <v>697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1</v>
      </c>
      <c r="I349" s="5" t="s">
        <v>71</v>
      </c>
      <c r="J349" s="5">
        <v>0</v>
      </c>
      <c r="K349" s="5" t="s">
        <v>71</v>
      </c>
    </row>
    <row r="350">
      <c r="A350" s="0" t="s">
        <v>698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1</v>
      </c>
      <c r="I350" s="5" t="s">
        <v>71</v>
      </c>
      <c r="J350" s="5">
        <v>0</v>
      </c>
      <c r="K350" s="5" t="s">
        <v>71</v>
      </c>
    </row>
    <row r="351">
      <c r="A351" s="0" t="s">
        <v>699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 t="s">
        <v>71</v>
      </c>
      <c r="J351" s="5">
        <v>0</v>
      </c>
      <c r="K351" s="5" t="s">
        <v>71</v>
      </c>
    </row>
    <row r="352">
      <c r="A352" s="0" t="s">
        <v>700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13</v>
      </c>
      <c r="I352" s="5" t="s">
        <v>71</v>
      </c>
      <c r="J352" s="5">
        <v>0</v>
      </c>
      <c r="K352" s="5" t="s">
        <v>71</v>
      </c>
    </row>
    <row r="353">
      <c r="A353" s="0" t="s">
        <v>701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1</v>
      </c>
      <c r="I353" s="5" t="s">
        <v>71</v>
      </c>
      <c r="J353" s="5">
        <v>0</v>
      </c>
      <c r="K353" s="5" t="s">
        <v>71</v>
      </c>
    </row>
    <row r="354">
      <c r="A354" s="0" t="s">
        <v>702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1</v>
      </c>
      <c r="I354" s="5" t="s">
        <v>71</v>
      </c>
      <c r="J354" s="5">
        <v>0</v>
      </c>
      <c r="K354" s="5" t="s">
        <v>71</v>
      </c>
    </row>
    <row r="355">
      <c r="A355" s="0" t="s">
        <v>703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1</v>
      </c>
      <c r="I355" s="5" t="s">
        <v>71</v>
      </c>
      <c r="J355" s="5">
        <v>0</v>
      </c>
      <c r="K355" s="5" t="s">
        <v>71</v>
      </c>
    </row>
    <row r="356">
      <c r="A356" s="0" t="s">
        <v>704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1</v>
      </c>
      <c r="I356" s="5" t="s">
        <v>71</v>
      </c>
      <c r="J356" s="5">
        <v>0</v>
      </c>
      <c r="K356" s="5" t="s">
        <v>71</v>
      </c>
    </row>
    <row r="357">
      <c r="A357" s="0" t="s">
        <v>705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1</v>
      </c>
      <c r="I357" s="5" t="s">
        <v>71</v>
      </c>
      <c r="J357" s="5">
        <v>0</v>
      </c>
      <c r="K357" s="5" t="s">
        <v>71</v>
      </c>
    </row>
    <row r="358">
      <c r="A358" s="0" t="s">
        <v>706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1</v>
      </c>
      <c r="I358" s="5" t="s">
        <v>71</v>
      </c>
      <c r="J358" s="5">
        <v>0</v>
      </c>
      <c r="K358" s="5" t="s">
        <v>71</v>
      </c>
    </row>
    <row r="359">
      <c r="A359" s="0" t="s">
        <v>707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1</v>
      </c>
      <c r="I359" s="5" t="s">
        <v>71</v>
      </c>
      <c r="J359" s="5">
        <v>0</v>
      </c>
      <c r="K359" s="5" t="s">
        <v>71</v>
      </c>
    </row>
    <row r="360">
      <c r="A360" s="0" t="s">
        <v>708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1</v>
      </c>
      <c r="I360" s="5" t="s">
        <v>71</v>
      </c>
      <c r="J360" s="5">
        <v>0</v>
      </c>
      <c r="K360" s="5" t="s">
        <v>71</v>
      </c>
    </row>
    <row r="361">
      <c r="A361" s="0" t="s">
        <v>709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1</v>
      </c>
      <c r="I361" s="5" t="s">
        <v>71</v>
      </c>
      <c r="J361" s="5">
        <v>0</v>
      </c>
      <c r="K361" s="5" t="s">
        <v>71</v>
      </c>
    </row>
    <row r="362">
      <c r="A362" s="0" t="s">
        <v>710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1</v>
      </c>
      <c r="I362" s="5" t="s">
        <v>71</v>
      </c>
      <c r="J362" s="5">
        <v>0</v>
      </c>
      <c r="K362" s="5" t="s">
        <v>71</v>
      </c>
    </row>
    <row r="363">
      <c r="A363" s="0" t="s">
        <v>711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1</v>
      </c>
      <c r="I363" s="5" t="s">
        <v>71</v>
      </c>
      <c r="J363" s="5">
        <v>0</v>
      </c>
      <c r="K363" s="5" t="s">
        <v>71</v>
      </c>
    </row>
    <row r="364">
      <c r="A364" s="0" t="s">
        <v>712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1</v>
      </c>
      <c r="I364" s="5" t="s">
        <v>71</v>
      </c>
      <c r="J364" s="5">
        <v>0</v>
      </c>
      <c r="K364" s="5" t="s">
        <v>71</v>
      </c>
    </row>
    <row r="365">
      <c r="A365" s="0" t="s">
        <v>713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1</v>
      </c>
      <c r="I365" s="5" t="s">
        <v>71</v>
      </c>
      <c r="J365" s="5">
        <v>0</v>
      </c>
      <c r="K365" s="5" t="s">
        <v>71</v>
      </c>
    </row>
    <row r="366">
      <c r="A366" s="0" t="s">
        <v>714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 t="s">
        <v>71</v>
      </c>
      <c r="J366" s="5">
        <v>0</v>
      </c>
      <c r="K366" s="5" t="s">
        <v>71</v>
      </c>
    </row>
    <row r="367">
      <c r="A367" s="0" t="s">
        <v>715</v>
      </c>
      <c r="B367" s="5">
        <v>0</v>
      </c>
      <c r="C367" s="5">
        <v>0</v>
      </c>
      <c r="D367" s="5">
        <v>3</v>
      </c>
      <c r="E367" s="5">
        <v>2259</v>
      </c>
      <c r="F367" s="5">
        <v>3</v>
      </c>
      <c r="G367" s="5">
        <v>2259</v>
      </c>
      <c r="H367" s="5">
        <v>1</v>
      </c>
      <c r="I367" s="5" t="s">
        <v>453</v>
      </c>
      <c r="J367" s="5">
        <v>0</v>
      </c>
      <c r="K367" s="5" t="s">
        <v>71</v>
      </c>
    </row>
    <row r="368">
      <c r="A368" s="0" t="s">
        <v>716</v>
      </c>
      <c r="B368" s="5">
        <v>0</v>
      </c>
      <c r="C368" s="5">
        <v>0</v>
      </c>
      <c r="D368" s="5">
        <v>462</v>
      </c>
      <c r="E368" s="5">
        <v>25454.2</v>
      </c>
      <c r="F368" s="5">
        <v>462</v>
      </c>
      <c r="G368" s="5">
        <v>25454.2</v>
      </c>
      <c r="H368" s="5">
        <v>1</v>
      </c>
      <c r="I368" s="5" t="s">
        <v>717</v>
      </c>
      <c r="J368" s="5">
        <v>25680.000000000004</v>
      </c>
      <c r="K368" s="5" t="s">
        <v>718</v>
      </c>
    </row>
    <row r="369">
      <c r="A369" s="0" t="s">
        <v>719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 t="s">
        <v>71</v>
      </c>
      <c r="J369" s="5">
        <v>0</v>
      </c>
      <c r="K369" s="5" t="s">
        <v>71</v>
      </c>
    </row>
    <row r="370">
      <c r="A370" s="0" t="s">
        <v>89</v>
      </c>
      <c r="B370" s="5">
        <v>63156.36</v>
      </c>
      <c r="C370" s="5">
        <v>185751.85</v>
      </c>
      <c r="D370" s="5">
        <v>3993674.02</v>
      </c>
      <c r="E370" s="5">
        <v>29752020.04</v>
      </c>
      <c r="F370" s="5">
        <v>4056830.38</v>
      </c>
      <c r="G370" s="5">
        <v>29937771.89</v>
      </c>
      <c r="H370" s="5">
        <v>33</v>
      </c>
      <c r="I370" s="5" t="s">
        <v>90</v>
      </c>
      <c r="J370" s="5">
        <v>25548005</v>
      </c>
      <c r="K370" s="5" t="s">
        <v>91</v>
      </c>
    </row>
    <row r="371">
      <c r="A371" s="0" t="s">
        <v>720</v>
      </c>
      <c r="B371" s="5">
        <v>0</v>
      </c>
      <c r="C371" s="5">
        <v>0</v>
      </c>
      <c r="D371" s="5">
        <v>2526</v>
      </c>
      <c r="E371" s="5">
        <v>1308528.2</v>
      </c>
      <c r="F371" s="5">
        <v>2526</v>
      </c>
      <c r="G371" s="5">
        <v>1308528.2</v>
      </c>
      <c r="H371" s="5">
        <v>1</v>
      </c>
      <c r="I371" s="5" t="s">
        <v>721</v>
      </c>
      <c r="J371" s="5">
        <v>1348970</v>
      </c>
      <c r="K371" s="5" t="s">
        <v>722</v>
      </c>
    </row>
    <row r="372">
      <c r="A372" s="0" t="s">
        <v>723</v>
      </c>
      <c r="B372" s="5">
        <v>0</v>
      </c>
      <c r="C372" s="5">
        <v>0</v>
      </c>
      <c r="D372" s="5">
        <v>1590</v>
      </c>
      <c r="E372" s="5">
        <v>4761099.4</v>
      </c>
      <c r="F372" s="5">
        <v>1590</v>
      </c>
      <c r="G372" s="5">
        <v>4761099.4</v>
      </c>
      <c r="H372" s="5">
        <v>1</v>
      </c>
      <c r="I372" s="5" t="s">
        <v>724</v>
      </c>
      <c r="J372" s="5">
        <v>4464200</v>
      </c>
      <c r="K372" s="5" t="s">
        <v>725</v>
      </c>
    </row>
    <row r="373">
      <c r="A373" s="0" t="s">
        <v>726</v>
      </c>
      <c r="B373" s="5">
        <v>0</v>
      </c>
      <c r="C373" s="5">
        <v>0</v>
      </c>
      <c r="D373" s="5">
        <v>32966</v>
      </c>
      <c r="E373" s="5">
        <v>2575105.2199999997</v>
      </c>
      <c r="F373" s="5">
        <v>32966</v>
      </c>
      <c r="G373" s="5">
        <v>2575105.2199999997</v>
      </c>
      <c r="H373" s="5">
        <v>1</v>
      </c>
      <c r="I373" s="5" t="s">
        <v>727</v>
      </c>
      <c r="J373" s="5">
        <v>2472413</v>
      </c>
      <c r="K373" s="5" t="s">
        <v>728</v>
      </c>
    </row>
    <row r="374">
      <c r="A374" s="0" t="s">
        <v>729</v>
      </c>
      <c r="B374" s="5">
        <v>0</v>
      </c>
      <c r="C374" s="5">
        <v>0</v>
      </c>
      <c r="D374" s="5">
        <v>89063</v>
      </c>
      <c r="E374" s="5">
        <v>1133535</v>
      </c>
      <c r="F374" s="5">
        <v>89063</v>
      </c>
      <c r="G374" s="5">
        <v>1133535</v>
      </c>
      <c r="H374" s="5">
        <v>1</v>
      </c>
      <c r="I374" s="5" t="s">
        <v>730</v>
      </c>
      <c r="J374" s="5">
        <v>1550186</v>
      </c>
      <c r="K374" s="5" t="s">
        <v>731</v>
      </c>
    </row>
    <row r="375">
      <c r="A375" s="0" t="s">
        <v>732</v>
      </c>
      <c r="B375" s="5">
        <v>0</v>
      </c>
      <c r="C375" s="5">
        <v>0</v>
      </c>
      <c r="D375" s="5">
        <v>440837</v>
      </c>
      <c r="E375" s="5">
        <v>4496831.1499999994</v>
      </c>
      <c r="F375" s="5">
        <v>440837</v>
      </c>
      <c r="G375" s="5">
        <v>4496831.1499999994</v>
      </c>
      <c r="H375" s="5">
        <v>10</v>
      </c>
      <c r="I375" s="5" t="s">
        <v>733</v>
      </c>
      <c r="J375" s="5">
        <v>5743280</v>
      </c>
      <c r="K375" s="5" t="s">
        <v>734</v>
      </c>
    </row>
    <row r="376">
      <c r="A376" s="0" t="s">
        <v>735</v>
      </c>
      <c r="B376" s="5">
        <v>0</v>
      </c>
      <c r="C376" s="5">
        <v>0</v>
      </c>
      <c r="D376" s="5">
        <v>2377</v>
      </c>
      <c r="E376" s="5">
        <v>638090.25</v>
      </c>
      <c r="F376" s="5">
        <v>2377</v>
      </c>
      <c r="G376" s="5">
        <v>638090.25</v>
      </c>
      <c r="H376" s="5">
        <v>1</v>
      </c>
      <c r="I376" s="5" t="s">
        <v>736</v>
      </c>
      <c r="J376" s="5">
        <v>658350</v>
      </c>
      <c r="K376" s="5" t="s">
        <v>737</v>
      </c>
    </row>
    <row r="377">
      <c r="A377" s="0" t="s">
        <v>738</v>
      </c>
      <c r="B377" s="5">
        <v>0</v>
      </c>
      <c r="C377" s="5">
        <v>0</v>
      </c>
      <c r="D377" s="5">
        <v>38366</v>
      </c>
      <c r="E377" s="5">
        <v>859108.60000000009</v>
      </c>
      <c r="F377" s="5">
        <v>38366</v>
      </c>
      <c r="G377" s="5">
        <v>859108.60000000009</v>
      </c>
      <c r="H377" s="5">
        <v>1</v>
      </c>
      <c r="I377" s="5" t="s">
        <v>739</v>
      </c>
      <c r="J377" s="5">
        <v>1700985</v>
      </c>
      <c r="K377" s="5" t="s">
        <v>740</v>
      </c>
    </row>
    <row r="378">
      <c r="A378" s="0" t="s">
        <v>741</v>
      </c>
      <c r="B378" s="5">
        <v>0</v>
      </c>
      <c r="C378" s="5">
        <v>0</v>
      </c>
      <c r="D378" s="5">
        <v>12300.999999999998</v>
      </c>
      <c r="E378" s="5">
        <v>603826.65</v>
      </c>
      <c r="F378" s="5">
        <v>12300.999999999998</v>
      </c>
      <c r="G378" s="5">
        <v>603826.65</v>
      </c>
      <c r="H378" s="5">
        <v>1</v>
      </c>
      <c r="I378" s="5" t="s">
        <v>742</v>
      </c>
      <c r="J378" s="5">
        <v>532220</v>
      </c>
      <c r="K378" s="5" t="s">
        <v>743</v>
      </c>
    </row>
    <row r="379">
      <c r="A379" s="0" t="s">
        <v>744</v>
      </c>
      <c r="B379" s="5">
        <v>0</v>
      </c>
      <c r="C379" s="5">
        <v>0</v>
      </c>
      <c r="D379" s="5">
        <v>13310.000000000002</v>
      </c>
      <c r="E379" s="5">
        <v>737125.55</v>
      </c>
      <c r="F379" s="5">
        <v>13310.000000000002</v>
      </c>
      <c r="G379" s="5">
        <v>737125.55</v>
      </c>
      <c r="H379" s="5">
        <v>1</v>
      </c>
      <c r="I379" s="5" t="s">
        <v>745</v>
      </c>
      <c r="J379" s="5">
        <v>882625</v>
      </c>
      <c r="K379" s="5" t="s">
        <v>746</v>
      </c>
    </row>
    <row r="380">
      <c r="A380" s="0" t="s">
        <v>747</v>
      </c>
      <c r="B380" s="5">
        <v>0</v>
      </c>
      <c r="C380" s="5">
        <v>0</v>
      </c>
      <c r="D380" s="5">
        <v>1321</v>
      </c>
      <c r="E380" s="5">
        <v>237702.2</v>
      </c>
      <c r="F380" s="5">
        <v>1321</v>
      </c>
      <c r="G380" s="5">
        <v>237702.2</v>
      </c>
      <c r="H380" s="5">
        <v>1</v>
      </c>
      <c r="I380" s="5" t="s">
        <v>748</v>
      </c>
      <c r="J380" s="5">
        <v>310600</v>
      </c>
      <c r="K380" s="5" t="s">
        <v>749</v>
      </c>
    </row>
    <row r="381">
      <c r="A381" s="0" t="s">
        <v>750</v>
      </c>
      <c r="B381" s="5">
        <v>0</v>
      </c>
      <c r="C381" s="5">
        <v>0</v>
      </c>
      <c r="D381" s="5">
        <v>74</v>
      </c>
      <c r="E381" s="5">
        <v>8700</v>
      </c>
      <c r="F381" s="5">
        <v>74</v>
      </c>
      <c r="G381" s="5">
        <v>8700</v>
      </c>
      <c r="H381" s="5">
        <v>1</v>
      </c>
      <c r="I381" s="5" t="s">
        <v>751</v>
      </c>
      <c r="J381" s="5">
        <v>605055</v>
      </c>
      <c r="K381" s="5" t="s">
        <v>752</v>
      </c>
    </row>
    <row r="382">
      <c r="A382" s="0" t="s">
        <v>753</v>
      </c>
      <c r="B382" s="5">
        <v>0</v>
      </c>
      <c r="C382" s="5">
        <v>0</v>
      </c>
      <c r="D382" s="5">
        <v>2601</v>
      </c>
      <c r="E382" s="5">
        <v>266725.2</v>
      </c>
      <c r="F382" s="5">
        <v>2601</v>
      </c>
      <c r="G382" s="5">
        <v>266725.2</v>
      </c>
      <c r="H382" s="5">
        <v>1</v>
      </c>
      <c r="I382" s="5" t="s">
        <v>754</v>
      </c>
      <c r="J382" s="5">
        <v>145660</v>
      </c>
      <c r="K382" s="5" t="s">
        <v>755</v>
      </c>
    </row>
    <row r="383">
      <c r="A383" s="0" t="s">
        <v>756</v>
      </c>
      <c r="B383" s="5">
        <v>0</v>
      </c>
      <c r="C383" s="5">
        <v>0</v>
      </c>
      <c r="D383" s="5">
        <v>5280</v>
      </c>
      <c r="E383" s="5">
        <v>493620</v>
      </c>
      <c r="F383" s="5">
        <v>5280</v>
      </c>
      <c r="G383" s="5">
        <v>493620</v>
      </c>
      <c r="H383" s="5">
        <v>1</v>
      </c>
      <c r="I383" s="5" t="s">
        <v>757</v>
      </c>
      <c r="J383" s="5">
        <v>313245</v>
      </c>
      <c r="K383" s="5" t="s">
        <v>758</v>
      </c>
    </row>
    <row r="384">
      <c r="A384" s="0" t="s">
        <v>759</v>
      </c>
      <c r="B384" s="5">
        <v>0</v>
      </c>
      <c r="C384" s="5">
        <v>0</v>
      </c>
      <c r="D384" s="5">
        <v>1</v>
      </c>
      <c r="E384" s="5">
        <v>3780</v>
      </c>
      <c r="F384" s="5">
        <v>1</v>
      </c>
      <c r="G384" s="5">
        <v>3780</v>
      </c>
      <c r="H384" s="5">
        <v>1</v>
      </c>
      <c r="I384" s="5" t="s">
        <v>110</v>
      </c>
      <c r="J384" s="5">
        <v>0</v>
      </c>
      <c r="K384" s="5" t="s">
        <v>71</v>
      </c>
    </row>
    <row r="385">
      <c r="A385" s="0" t="s">
        <v>760</v>
      </c>
      <c r="B385" s="5">
        <v>0</v>
      </c>
      <c r="C385" s="5">
        <v>0</v>
      </c>
      <c r="D385" s="5">
        <v>365206</v>
      </c>
      <c r="E385" s="5">
        <v>648152.7</v>
      </c>
      <c r="F385" s="5">
        <v>365206</v>
      </c>
      <c r="G385" s="5">
        <v>648152.7</v>
      </c>
      <c r="H385" s="5">
        <v>1</v>
      </c>
      <c r="I385" s="5" t="s">
        <v>761</v>
      </c>
      <c r="J385" s="5">
        <v>594540</v>
      </c>
      <c r="K385" s="5" t="s">
        <v>762</v>
      </c>
    </row>
    <row r="386">
      <c r="A386" s="0" t="s">
        <v>763</v>
      </c>
      <c r="B386" s="5">
        <v>0</v>
      </c>
      <c r="C386" s="5">
        <v>0</v>
      </c>
      <c r="D386" s="5">
        <v>365206</v>
      </c>
      <c r="E386" s="5">
        <v>648152.7</v>
      </c>
      <c r="F386" s="5">
        <v>365206</v>
      </c>
      <c r="G386" s="5">
        <v>648152.7</v>
      </c>
      <c r="H386" s="5">
        <v>1</v>
      </c>
      <c r="I386" s="5" t="s">
        <v>761</v>
      </c>
      <c r="J386" s="5">
        <v>594540</v>
      </c>
      <c r="K386" s="5" t="s">
        <v>762</v>
      </c>
    </row>
    <row r="387">
      <c r="A387" s="0" t="s">
        <v>764</v>
      </c>
      <c r="B387" s="5">
        <v>0</v>
      </c>
      <c r="C387" s="5">
        <v>0</v>
      </c>
      <c r="D387" s="5">
        <v>68001</v>
      </c>
      <c r="E387" s="5">
        <v>144270.19999999998</v>
      </c>
      <c r="F387" s="5">
        <v>68001</v>
      </c>
      <c r="G387" s="5">
        <v>144270.19999999998</v>
      </c>
      <c r="H387" s="5">
        <v>1</v>
      </c>
      <c r="I387" s="5" t="s">
        <v>765</v>
      </c>
      <c r="J387" s="5">
        <v>558000</v>
      </c>
      <c r="K387" s="5" t="s">
        <v>766</v>
      </c>
    </row>
    <row r="388">
      <c r="A388" s="0" t="s">
        <v>767</v>
      </c>
      <c r="B388" s="5">
        <v>0</v>
      </c>
      <c r="C388" s="5">
        <v>0</v>
      </c>
      <c r="D388" s="5">
        <v>2</v>
      </c>
      <c r="E388" s="5">
        <v>50000.000000000007</v>
      </c>
      <c r="F388" s="5">
        <v>2</v>
      </c>
      <c r="G388" s="5">
        <v>50000.000000000007</v>
      </c>
      <c r="H388" s="5">
        <v>1</v>
      </c>
      <c r="I388" s="5" t="s">
        <v>458</v>
      </c>
      <c r="J388" s="5">
        <v>0</v>
      </c>
      <c r="K388" s="5" t="s">
        <v>71</v>
      </c>
    </row>
    <row r="389">
      <c r="A389" s="0" t="s">
        <v>768</v>
      </c>
      <c r="B389" s="5">
        <v>63153.36</v>
      </c>
      <c r="C389" s="5">
        <v>63153.36</v>
      </c>
      <c r="D389" s="5">
        <v>2073657.52</v>
      </c>
      <c r="E389" s="5">
        <v>5015930.13</v>
      </c>
      <c r="F389" s="5">
        <v>2136810.88</v>
      </c>
      <c r="G389" s="5">
        <v>5079083.49</v>
      </c>
      <c r="H389" s="5">
        <v>9</v>
      </c>
      <c r="I389" s="5" t="s">
        <v>769</v>
      </c>
      <c r="J389" s="5">
        <v>2646000</v>
      </c>
      <c r="K389" s="5" t="s">
        <v>770</v>
      </c>
    </row>
    <row r="390">
      <c r="A390" s="0" t="s">
        <v>771</v>
      </c>
      <c r="B390" s="5">
        <v>0</v>
      </c>
      <c r="C390" s="5">
        <v>0</v>
      </c>
      <c r="D390" s="5">
        <v>18</v>
      </c>
      <c r="E390" s="5">
        <v>1506262.22</v>
      </c>
      <c r="F390" s="5">
        <v>18</v>
      </c>
      <c r="G390" s="5">
        <v>1506262.22</v>
      </c>
      <c r="H390" s="5">
        <v>1</v>
      </c>
      <c r="I390" s="5" t="s">
        <v>772</v>
      </c>
      <c r="J390" s="5">
        <v>2052000</v>
      </c>
      <c r="K390" s="5" t="s">
        <v>773</v>
      </c>
    </row>
    <row r="391">
      <c r="A391" s="0" t="s">
        <v>774</v>
      </c>
      <c r="B391" s="5">
        <v>0</v>
      </c>
      <c r="C391" s="5">
        <v>0</v>
      </c>
      <c r="D391" s="5">
        <v>18</v>
      </c>
      <c r="E391" s="5">
        <v>1721447.13</v>
      </c>
      <c r="F391" s="5">
        <v>18</v>
      </c>
      <c r="G391" s="5">
        <v>1721447.13</v>
      </c>
      <c r="H391" s="5">
        <v>1</v>
      </c>
      <c r="I391" s="5" t="s">
        <v>772</v>
      </c>
      <c r="J391" s="5">
        <v>0</v>
      </c>
      <c r="K391" s="5" t="s">
        <v>71</v>
      </c>
    </row>
    <row r="392">
      <c r="A392" s="0" t="s">
        <v>775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1</v>
      </c>
      <c r="I392" s="5" t="s">
        <v>71</v>
      </c>
      <c r="J392" s="5">
        <v>0</v>
      </c>
      <c r="K392" s="5" t="s">
        <v>71</v>
      </c>
    </row>
    <row r="393">
      <c r="A393" s="0" t="s">
        <v>776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1</v>
      </c>
      <c r="I393" s="5" t="s">
        <v>71</v>
      </c>
      <c r="J393" s="5">
        <v>0</v>
      </c>
      <c r="K393" s="5" t="s">
        <v>71</v>
      </c>
    </row>
    <row r="394">
      <c r="A394" s="0" t="s">
        <v>777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1</v>
      </c>
      <c r="I394" s="5" t="s">
        <v>71</v>
      </c>
      <c r="J394" s="5">
        <v>0</v>
      </c>
      <c r="K394" s="5" t="s">
        <v>71</v>
      </c>
    </row>
    <row r="395">
      <c r="A395" s="0" t="s">
        <v>778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1</v>
      </c>
      <c r="I395" s="5" t="s">
        <v>71</v>
      </c>
      <c r="J395" s="5">
        <v>0</v>
      </c>
      <c r="K395" s="5" t="s">
        <v>71</v>
      </c>
    </row>
    <row r="396">
      <c r="A396" s="0" t="s">
        <v>779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1</v>
      </c>
      <c r="I396" s="5" t="s">
        <v>71</v>
      </c>
      <c r="J396" s="5">
        <v>0</v>
      </c>
      <c r="K396" s="5" t="s">
        <v>71</v>
      </c>
    </row>
    <row r="397">
      <c r="A397" s="0" t="s">
        <v>780</v>
      </c>
      <c r="B397" s="5">
        <v>63153.36</v>
      </c>
      <c r="C397" s="5">
        <v>63153.36</v>
      </c>
      <c r="D397" s="5">
        <v>2073621.52</v>
      </c>
      <c r="E397" s="5">
        <v>1788220.78</v>
      </c>
      <c r="F397" s="5">
        <v>2136774.88</v>
      </c>
      <c r="G397" s="5">
        <v>1851374.1400000001</v>
      </c>
      <c r="H397" s="5">
        <v>1</v>
      </c>
      <c r="I397" s="5" t="s">
        <v>781</v>
      </c>
      <c r="J397" s="5">
        <v>594000</v>
      </c>
      <c r="K397" s="5" t="s">
        <v>782</v>
      </c>
    </row>
    <row r="398">
      <c r="A398" s="0" t="s">
        <v>783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1</v>
      </c>
      <c r="I398" s="5" t="s">
        <v>71</v>
      </c>
      <c r="J398" s="5">
        <v>0</v>
      </c>
      <c r="K398" s="5" t="s">
        <v>71</v>
      </c>
    </row>
    <row r="399">
      <c r="A399" s="0" t="s">
        <v>784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 t="s">
        <v>71</v>
      </c>
      <c r="J399" s="5">
        <v>0</v>
      </c>
      <c r="K399" s="5" t="s">
        <v>71</v>
      </c>
    </row>
    <row r="400">
      <c r="A400" s="0" t="s">
        <v>785</v>
      </c>
      <c r="B400" s="5">
        <v>3</v>
      </c>
      <c r="C400" s="5">
        <v>122598.49</v>
      </c>
      <c r="D400" s="5">
        <v>1201558.2</v>
      </c>
      <c r="E400" s="5">
        <v>6494692.21</v>
      </c>
      <c r="F400" s="5">
        <v>1201561.2</v>
      </c>
      <c r="G400" s="5">
        <v>6617290.6999999993</v>
      </c>
      <c r="H400" s="5">
        <v>4</v>
      </c>
      <c r="I400" s="5" t="s">
        <v>786</v>
      </c>
      <c r="J400" s="5">
        <v>6036444</v>
      </c>
      <c r="K400" s="5" t="s">
        <v>787</v>
      </c>
    </row>
    <row r="401">
      <c r="A401" s="0" t="s">
        <v>788</v>
      </c>
      <c r="B401" s="5">
        <v>1</v>
      </c>
      <c r="C401" s="5">
        <v>12600</v>
      </c>
      <c r="D401" s="5">
        <v>18</v>
      </c>
      <c r="E401" s="5">
        <v>647321.54</v>
      </c>
      <c r="F401" s="5">
        <v>19</v>
      </c>
      <c r="G401" s="5">
        <v>659921.54</v>
      </c>
      <c r="H401" s="5">
        <v>1</v>
      </c>
      <c r="I401" s="5" t="s">
        <v>789</v>
      </c>
      <c r="J401" s="5">
        <v>0</v>
      </c>
      <c r="K401" s="5" t="s">
        <v>71</v>
      </c>
    </row>
    <row r="402">
      <c r="A402" s="0" t="s">
        <v>790</v>
      </c>
      <c r="B402" s="5">
        <v>1</v>
      </c>
      <c r="C402" s="5">
        <v>16454.7</v>
      </c>
      <c r="D402" s="5">
        <v>18</v>
      </c>
      <c r="E402" s="5">
        <v>847471.82000000007</v>
      </c>
      <c r="F402" s="5">
        <v>19</v>
      </c>
      <c r="G402" s="5">
        <v>863926.52</v>
      </c>
      <c r="H402" s="5">
        <v>1</v>
      </c>
      <c r="I402" s="5" t="s">
        <v>789</v>
      </c>
      <c r="J402" s="5">
        <v>0</v>
      </c>
      <c r="K402" s="5" t="s">
        <v>71</v>
      </c>
    </row>
    <row r="403">
      <c r="A403" s="0" t="s">
        <v>791</v>
      </c>
      <c r="B403" s="5">
        <v>1</v>
      </c>
      <c r="C403" s="5">
        <v>93543.79</v>
      </c>
      <c r="D403" s="5">
        <v>11</v>
      </c>
      <c r="E403" s="5">
        <v>3128952.0500000003</v>
      </c>
      <c r="F403" s="5">
        <v>12</v>
      </c>
      <c r="G403" s="5">
        <v>3222495.84</v>
      </c>
      <c r="H403" s="5">
        <v>1</v>
      </c>
      <c r="I403" s="5" t="s">
        <v>204</v>
      </c>
      <c r="J403" s="5">
        <v>3833243.9999999995</v>
      </c>
      <c r="K403" s="5" t="s">
        <v>792</v>
      </c>
    </row>
    <row r="404">
      <c r="A404" s="0" t="s">
        <v>793</v>
      </c>
      <c r="B404" s="5">
        <v>0</v>
      </c>
      <c r="C404" s="5">
        <v>0</v>
      </c>
      <c r="D404" s="5">
        <v>1201511.2</v>
      </c>
      <c r="E404" s="5">
        <v>1870946.8</v>
      </c>
      <c r="F404" s="5">
        <v>1201511.2</v>
      </c>
      <c r="G404" s="5">
        <v>1870946.8</v>
      </c>
      <c r="H404" s="5">
        <v>1</v>
      </c>
      <c r="I404" s="5" t="s">
        <v>794</v>
      </c>
      <c r="J404" s="5">
        <v>2203200</v>
      </c>
      <c r="K404" s="5" t="s">
        <v>795</v>
      </c>
    </row>
    <row r="405">
      <c r="A405" s="0" t="s">
        <v>796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 t="s">
        <v>71</v>
      </c>
      <c r="J405" s="5">
        <v>0</v>
      </c>
      <c r="K405" s="5" t="s">
        <v>71</v>
      </c>
    </row>
    <row r="406">
      <c r="A406" s="0" t="s">
        <v>797</v>
      </c>
      <c r="B406" s="5">
        <v>0</v>
      </c>
      <c r="C406" s="5">
        <v>0</v>
      </c>
      <c r="D406" s="5">
        <v>1254</v>
      </c>
      <c r="E406" s="5">
        <v>202674</v>
      </c>
      <c r="F406" s="5">
        <v>1254</v>
      </c>
      <c r="G406" s="5">
        <v>202674</v>
      </c>
      <c r="H406" s="5">
        <v>3</v>
      </c>
      <c r="I406" s="5" t="s">
        <v>798</v>
      </c>
      <c r="J406" s="5">
        <v>728512</v>
      </c>
      <c r="K406" s="5" t="s">
        <v>799</v>
      </c>
    </row>
    <row r="407">
      <c r="A407" s="0" t="s">
        <v>800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1</v>
      </c>
      <c r="I407" s="5" t="s">
        <v>71</v>
      </c>
      <c r="J407" s="5">
        <v>520511.99999999994</v>
      </c>
      <c r="K407" s="5" t="s">
        <v>71</v>
      </c>
    </row>
    <row r="408">
      <c r="A408" s="0" t="s">
        <v>801</v>
      </c>
      <c r="B408" s="5">
        <v>0</v>
      </c>
      <c r="C408" s="5">
        <v>0</v>
      </c>
      <c r="D408" s="5">
        <v>1254</v>
      </c>
      <c r="E408" s="5">
        <v>202674</v>
      </c>
      <c r="F408" s="5">
        <v>1254</v>
      </c>
      <c r="G408" s="5">
        <v>202674</v>
      </c>
      <c r="H408" s="5">
        <v>1</v>
      </c>
      <c r="I408" s="5" t="s">
        <v>802</v>
      </c>
      <c r="J408" s="5">
        <v>208000</v>
      </c>
      <c r="K408" s="5" t="s">
        <v>803</v>
      </c>
    </row>
    <row r="409">
      <c r="A409" s="0" t="s">
        <v>804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1</v>
      </c>
      <c r="I409" s="5" t="s">
        <v>71</v>
      </c>
      <c r="J409" s="5">
        <v>0</v>
      </c>
      <c r="K409" s="5" t="s">
        <v>71</v>
      </c>
    </row>
    <row r="410">
      <c r="A410" s="0" t="s">
        <v>805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 t="s">
        <v>71</v>
      </c>
      <c r="J410" s="5">
        <v>0</v>
      </c>
      <c r="K410" s="5" t="s">
        <v>71</v>
      </c>
    </row>
    <row r="411">
      <c r="A411" s="0" t="s">
        <v>806</v>
      </c>
      <c r="B411" s="5">
        <v>0</v>
      </c>
      <c r="C411" s="5">
        <v>0</v>
      </c>
      <c r="D411" s="5">
        <v>82219.3</v>
      </c>
      <c r="E411" s="5">
        <v>27774.29</v>
      </c>
      <c r="F411" s="5">
        <v>82219.3</v>
      </c>
      <c r="G411" s="5">
        <v>27774.29</v>
      </c>
      <c r="H411" s="5">
        <v>0</v>
      </c>
      <c r="I411" s="5" t="s">
        <v>71</v>
      </c>
      <c r="J411" s="5">
        <v>0</v>
      </c>
      <c r="K411" s="5" t="s">
        <v>71</v>
      </c>
    </row>
    <row r="412">
      <c r="A412" s="0" t="s">
        <v>807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1</v>
      </c>
      <c r="I412" s="5" t="s">
        <v>71</v>
      </c>
      <c r="J412" s="5">
        <v>0</v>
      </c>
      <c r="K412" s="5" t="s">
        <v>71</v>
      </c>
    </row>
    <row r="413">
      <c r="A413" s="0" t="s">
        <v>808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 t="s">
        <v>71</v>
      </c>
      <c r="J413" s="5">
        <v>0</v>
      </c>
      <c r="K413" s="5" t="s">
        <v>71</v>
      </c>
    </row>
    <row r="414">
      <c r="A414" s="0" t="s">
        <v>92</v>
      </c>
      <c r="B414" s="5">
        <v>503723.02999999997</v>
      </c>
      <c r="C414" s="5">
        <v>683001.58</v>
      </c>
      <c r="D414" s="5">
        <v>62225583.11</v>
      </c>
      <c r="E414" s="5">
        <v>125478600.68</v>
      </c>
      <c r="F414" s="5">
        <v>62729306.14</v>
      </c>
      <c r="G414" s="5">
        <v>126161602.25999999</v>
      </c>
      <c r="H414" s="5">
        <v>118</v>
      </c>
      <c r="I414" s="5" t="s">
        <v>93</v>
      </c>
      <c r="J414" s="5">
        <v>115207405</v>
      </c>
      <c r="K414" s="5" t="s">
        <v>94</v>
      </c>
    </row>
    <row r="415">
      <c r="A415" s="0" t="s">
        <v>809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4</v>
      </c>
      <c r="I415" s="5" t="s">
        <v>71</v>
      </c>
      <c r="J415" s="5">
        <v>0</v>
      </c>
      <c r="K415" s="5" t="s">
        <v>71</v>
      </c>
    </row>
    <row r="416">
      <c r="A416" s="0" t="s">
        <v>810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1</v>
      </c>
      <c r="I416" s="5" t="s">
        <v>71</v>
      </c>
      <c r="J416" s="5">
        <v>0</v>
      </c>
      <c r="K416" s="5" t="s">
        <v>71</v>
      </c>
    </row>
    <row r="417">
      <c r="A417" s="0" t="s">
        <v>811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1</v>
      </c>
      <c r="I417" s="5" t="s">
        <v>71</v>
      </c>
      <c r="J417" s="5">
        <v>0</v>
      </c>
      <c r="K417" s="5" t="s">
        <v>71</v>
      </c>
    </row>
    <row r="418">
      <c r="A418" s="0" t="s">
        <v>812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1</v>
      </c>
      <c r="I418" s="5" t="s">
        <v>71</v>
      </c>
      <c r="J418" s="5">
        <v>0</v>
      </c>
      <c r="K418" s="5" t="s">
        <v>71</v>
      </c>
    </row>
    <row r="419">
      <c r="A419" s="0" t="s">
        <v>813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1</v>
      </c>
      <c r="I419" s="5" t="s">
        <v>71</v>
      </c>
      <c r="J419" s="5">
        <v>0</v>
      </c>
      <c r="K419" s="5" t="s">
        <v>71</v>
      </c>
    </row>
    <row r="420">
      <c r="A420" s="0" t="s">
        <v>814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 t="s">
        <v>71</v>
      </c>
      <c r="J420" s="5">
        <v>0</v>
      </c>
      <c r="K420" s="5" t="s">
        <v>71</v>
      </c>
    </row>
    <row r="421">
      <c r="A421" s="0" t="s">
        <v>815</v>
      </c>
      <c r="B421" s="5">
        <v>0</v>
      </c>
      <c r="C421" s="5">
        <v>0</v>
      </c>
      <c r="D421" s="5">
        <v>437.37000000000006</v>
      </c>
      <c r="E421" s="5">
        <v>166491</v>
      </c>
      <c r="F421" s="5">
        <v>437.37000000000006</v>
      </c>
      <c r="G421" s="5">
        <v>166491</v>
      </c>
      <c r="H421" s="5">
        <v>4</v>
      </c>
      <c r="I421" s="5" t="s">
        <v>816</v>
      </c>
      <c r="J421" s="5">
        <v>1220960</v>
      </c>
      <c r="K421" s="5" t="s">
        <v>817</v>
      </c>
    </row>
    <row r="422">
      <c r="A422" s="0" t="s">
        <v>818</v>
      </c>
      <c r="B422" s="5">
        <v>0</v>
      </c>
      <c r="C422" s="5">
        <v>0</v>
      </c>
      <c r="D422" s="5">
        <v>11</v>
      </c>
      <c r="E422" s="5">
        <v>22080</v>
      </c>
      <c r="F422" s="5">
        <v>11</v>
      </c>
      <c r="G422" s="5">
        <v>22080</v>
      </c>
      <c r="H422" s="5">
        <v>1</v>
      </c>
      <c r="I422" s="5" t="s">
        <v>819</v>
      </c>
      <c r="J422" s="5">
        <v>181680</v>
      </c>
      <c r="K422" s="5" t="s">
        <v>820</v>
      </c>
    </row>
    <row r="423">
      <c r="A423" s="0" t="s">
        <v>821</v>
      </c>
      <c r="B423" s="5">
        <v>0</v>
      </c>
      <c r="C423" s="5">
        <v>0</v>
      </c>
      <c r="D423" s="5">
        <v>426.37</v>
      </c>
      <c r="E423" s="5">
        <v>144411</v>
      </c>
      <c r="F423" s="5">
        <v>426.37</v>
      </c>
      <c r="G423" s="5">
        <v>144411</v>
      </c>
      <c r="H423" s="5">
        <v>1</v>
      </c>
      <c r="I423" s="5" t="s">
        <v>822</v>
      </c>
      <c r="J423" s="5">
        <v>1039280</v>
      </c>
      <c r="K423" s="5" t="s">
        <v>823</v>
      </c>
    </row>
    <row r="424">
      <c r="A424" s="0" t="s">
        <v>824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1</v>
      </c>
      <c r="I424" s="5" t="s">
        <v>71</v>
      </c>
      <c r="J424" s="5">
        <v>0</v>
      </c>
      <c r="K424" s="5" t="s">
        <v>71</v>
      </c>
    </row>
    <row r="425">
      <c r="A425" s="0" t="s">
        <v>825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1</v>
      </c>
      <c r="I425" s="5" t="s">
        <v>71</v>
      </c>
      <c r="J425" s="5">
        <v>0</v>
      </c>
      <c r="K425" s="5" t="s">
        <v>71</v>
      </c>
    </row>
    <row r="426">
      <c r="A426" s="0" t="s">
        <v>826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 t="s">
        <v>71</v>
      </c>
      <c r="J426" s="5">
        <v>0</v>
      </c>
      <c r="K426" s="5" t="s">
        <v>71</v>
      </c>
    </row>
    <row r="427">
      <c r="A427" s="0" t="s">
        <v>827</v>
      </c>
      <c r="B427" s="5">
        <v>473176.23000000004</v>
      </c>
      <c r="C427" s="5">
        <v>473176.23000000004</v>
      </c>
      <c r="D427" s="5">
        <v>36379129.779999994</v>
      </c>
      <c r="E427" s="5">
        <v>24277521.84</v>
      </c>
      <c r="F427" s="5">
        <v>36852306.01</v>
      </c>
      <c r="G427" s="5">
        <v>24750698.07</v>
      </c>
      <c r="H427" s="5">
        <v>2</v>
      </c>
      <c r="I427" s="5" t="s">
        <v>828</v>
      </c>
      <c r="J427" s="5">
        <v>29323893.000000004</v>
      </c>
      <c r="K427" s="5" t="s">
        <v>829</v>
      </c>
    </row>
    <row r="428">
      <c r="A428" s="0" t="s">
        <v>830</v>
      </c>
      <c r="B428" s="5">
        <v>473176.23000000004</v>
      </c>
      <c r="C428" s="5">
        <v>473176.23000000004</v>
      </c>
      <c r="D428" s="5">
        <v>36379129.779999994</v>
      </c>
      <c r="E428" s="5">
        <v>24277521.84</v>
      </c>
      <c r="F428" s="5">
        <v>36852306.01</v>
      </c>
      <c r="G428" s="5">
        <v>24750698.07</v>
      </c>
      <c r="H428" s="5">
        <v>1</v>
      </c>
      <c r="I428" s="5" t="s">
        <v>831</v>
      </c>
      <c r="J428" s="5">
        <v>29323893.000000004</v>
      </c>
      <c r="K428" s="5" t="s">
        <v>829</v>
      </c>
    </row>
    <row r="429">
      <c r="A429" s="0" t="s">
        <v>832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1</v>
      </c>
      <c r="I429" s="5" t="s">
        <v>71</v>
      </c>
      <c r="J429" s="5">
        <v>0</v>
      </c>
      <c r="K429" s="5" t="s">
        <v>71</v>
      </c>
    </row>
    <row r="430">
      <c r="A430" s="0" t="s">
        <v>833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 t="s">
        <v>71</v>
      </c>
      <c r="J430" s="5">
        <v>0</v>
      </c>
      <c r="K430" s="5" t="s">
        <v>71</v>
      </c>
    </row>
    <row r="431">
      <c r="A431" s="0" t="s">
        <v>834</v>
      </c>
      <c r="B431" s="5">
        <v>0</v>
      </c>
      <c r="C431" s="5">
        <v>0</v>
      </c>
      <c r="D431" s="5">
        <v>12412894.51</v>
      </c>
      <c r="E431" s="5">
        <v>5645930.73</v>
      </c>
      <c r="F431" s="5">
        <v>12412894.51</v>
      </c>
      <c r="G431" s="5">
        <v>5645930.73</v>
      </c>
      <c r="H431" s="5">
        <v>2</v>
      </c>
      <c r="I431" s="5" t="s">
        <v>835</v>
      </c>
      <c r="J431" s="5">
        <v>15091268</v>
      </c>
      <c r="K431" s="5" t="s">
        <v>836</v>
      </c>
    </row>
    <row r="432">
      <c r="A432" s="0" t="s">
        <v>837</v>
      </c>
      <c r="B432" s="5">
        <v>0</v>
      </c>
      <c r="C432" s="5">
        <v>0</v>
      </c>
      <c r="D432" s="5">
        <v>12412894.51</v>
      </c>
      <c r="E432" s="5">
        <v>5645930.73</v>
      </c>
      <c r="F432" s="5">
        <v>12412894.51</v>
      </c>
      <c r="G432" s="5">
        <v>5645930.73</v>
      </c>
      <c r="H432" s="5">
        <v>1</v>
      </c>
      <c r="I432" s="5" t="s">
        <v>838</v>
      </c>
      <c r="J432" s="5">
        <v>15091268</v>
      </c>
      <c r="K432" s="5" t="s">
        <v>836</v>
      </c>
    </row>
    <row r="433">
      <c r="A433" s="0" t="s">
        <v>839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1</v>
      </c>
      <c r="I433" s="5" t="s">
        <v>71</v>
      </c>
      <c r="J433" s="5">
        <v>0</v>
      </c>
      <c r="K433" s="5" t="s">
        <v>71</v>
      </c>
    </row>
    <row r="434">
      <c r="A434" s="0" t="s">
        <v>840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 t="s">
        <v>71</v>
      </c>
      <c r="J434" s="5">
        <v>0</v>
      </c>
      <c r="K434" s="5" t="s">
        <v>71</v>
      </c>
    </row>
    <row r="435">
      <c r="A435" s="0" t="s">
        <v>841</v>
      </c>
      <c r="B435" s="5">
        <v>11</v>
      </c>
      <c r="C435" s="5">
        <v>4730</v>
      </c>
      <c r="D435" s="5">
        <v>8993124.8899999987</v>
      </c>
      <c r="E435" s="5">
        <v>7946082.01</v>
      </c>
      <c r="F435" s="5">
        <v>8993135.89</v>
      </c>
      <c r="G435" s="5">
        <v>7950812.01</v>
      </c>
      <c r="H435" s="5">
        <v>3</v>
      </c>
      <c r="I435" s="5" t="s">
        <v>842</v>
      </c>
      <c r="J435" s="5">
        <v>7904310.0000000009</v>
      </c>
      <c r="K435" s="5" t="s">
        <v>843</v>
      </c>
    </row>
    <row r="436">
      <c r="A436" s="0" t="s">
        <v>844</v>
      </c>
      <c r="B436" s="5">
        <v>11</v>
      </c>
      <c r="C436" s="5">
        <v>4730</v>
      </c>
      <c r="D436" s="5">
        <v>1660.9999999999998</v>
      </c>
      <c r="E436" s="5">
        <v>1024844.16</v>
      </c>
      <c r="F436" s="5">
        <v>1672</v>
      </c>
      <c r="G436" s="5">
        <v>1029574.16</v>
      </c>
      <c r="H436" s="5">
        <v>1</v>
      </c>
      <c r="I436" s="5" t="s">
        <v>845</v>
      </c>
      <c r="J436" s="5">
        <v>1569471</v>
      </c>
      <c r="K436" s="5" t="s">
        <v>846</v>
      </c>
    </row>
    <row r="437">
      <c r="A437" s="0" t="s">
        <v>847</v>
      </c>
      <c r="B437" s="5">
        <v>0</v>
      </c>
      <c r="C437" s="5">
        <v>0</v>
      </c>
      <c r="D437" s="5">
        <v>8991463.89</v>
      </c>
      <c r="E437" s="5">
        <v>6921237.85</v>
      </c>
      <c r="F437" s="5">
        <v>8991463.89</v>
      </c>
      <c r="G437" s="5">
        <v>6921237.85</v>
      </c>
      <c r="H437" s="5">
        <v>1</v>
      </c>
      <c r="I437" s="5" t="s">
        <v>848</v>
      </c>
      <c r="J437" s="5">
        <v>6334839</v>
      </c>
      <c r="K437" s="5" t="s">
        <v>849</v>
      </c>
    </row>
    <row r="438">
      <c r="A438" s="0" t="s">
        <v>850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1</v>
      </c>
      <c r="I438" s="5" t="s">
        <v>71</v>
      </c>
      <c r="J438" s="5">
        <v>0</v>
      </c>
      <c r="K438" s="5" t="s">
        <v>71</v>
      </c>
    </row>
    <row r="439">
      <c r="A439" s="0" t="s">
        <v>851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 t="s">
        <v>71</v>
      </c>
      <c r="J439" s="5">
        <v>0</v>
      </c>
      <c r="K439" s="5" t="s">
        <v>71</v>
      </c>
    </row>
    <row r="440">
      <c r="A440" s="0" t="s">
        <v>852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2</v>
      </c>
      <c r="I440" s="5" t="s">
        <v>71</v>
      </c>
      <c r="J440" s="5">
        <v>0</v>
      </c>
      <c r="K440" s="5" t="s">
        <v>71</v>
      </c>
    </row>
    <row r="441">
      <c r="A441" s="0" t="s">
        <v>853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1</v>
      </c>
      <c r="I441" s="5" t="s">
        <v>71</v>
      </c>
      <c r="J441" s="5">
        <v>0</v>
      </c>
      <c r="K441" s="5" t="s">
        <v>71</v>
      </c>
    </row>
    <row r="442">
      <c r="A442" s="0" t="s">
        <v>854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1</v>
      </c>
      <c r="I442" s="5" t="s">
        <v>71</v>
      </c>
      <c r="J442" s="5">
        <v>0</v>
      </c>
      <c r="K442" s="5" t="s">
        <v>71</v>
      </c>
    </row>
    <row r="443">
      <c r="A443" s="0" t="s">
        <v>855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 t="s">
        <v>71</v>
      </c>
      <c r="J443" s="5">
        <v>0</v>
      </c>
      <c r="K443" s="5" t="s">
        <v>71</v>
      </c>
    </row>
    <row r="444">
      <c r="A444" s="0" t="s">
        <v>856</v>
      </c>
      <c r="B444" s="5">
        <v>0</v>
      </c>
      <c r="C444" s="5">
        <v>0</v>
      </c>
      <c r="D444" s="5">
        <v>261.76</v>
      </c>
      <c r="E444" s="5">
        <v>112318.4</v>
      </c>
      <c r="F444" s="5">
        <v>261.76</v>
      </c>
      <c r="G444" s="5">
        <v>112318.4</v>
      </c>
      <c r="H444" s="5">
        <v>1</v>
      </c>
      <c r="I444" s="5" t="s">
        <v>857</v>
      </c>
      <c r="J444" s="5">
        <v>4400</v>
      </c>
      <c r="K444" s="5" t="s">
        <v>858</v>
      </c>
    </row>
    <row r="445">
      <c r="A445" s="0" t="s">
        <v>859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4</v>
      </c>
      <c r="I445" s="5" t="s">
        <v>71</v>
      </c>
      <c r="J445" s="5">
        <v>0</v>
      </c>
      <c r="K445" s="5" t="s">
        <v>71</v>
      </c>
    </row>
    <row r="446">
      <c r="A446" s="0" t="s">
        <v>860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1</v>
      </c>
      <c r="I446" s="5" t="s">
        <v>71</v>
      </c>
      <c r="J446" s="5">
        <v>0</v>
      </c>
      <c r="K446" s="5" t="s">
        <v>71</v>
      </c>
    </row>
    <row r="447">
      <c r="A447" s="0" t="s">
        <v>861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1</v>
      </c>
      <c r="I447" s="5" t="s">
        <v>71</v>
      </c>
      <c r="J447" s="5">
        <v>0</v>
      </c>
      <c r="K447" s="5" t="s">
        <v>71</v>
      </c>
    </row>
    <row r="448">
      <c r="A448" s="0" t="s">
        <v>862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1</v>
      </c>
      <c r="I448" s="5" t="s">
        <v>71</v>
      </c>
      <c r="J448" s="5">
        <v>0</v>
      </c>
      <c r="K448" s="5" t="s">
        <v>71</v>
      </c>
    </row>
    <row r="449">
      <c r="A449" s="0" t="s">
        <v>863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1</v>
      </c>
      <c r="I449" s="5" t="s">
        <v>71</v>
      </c>
      <c r="J449" s="5">
        <v>0</v>
      </c>
      <c r="K449" s="5" t="s">
        <v>71</v>
      </c>
    </row>
    <row r="450">
      <c r="A450" s="0" t="s">
        <v>864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 t="s">
        <v>71</v>
      </c>
      <c r="J450" s="5">
        <v>0</v>
      </c>
      <c r="K450" s="5" t="s">
        <v>71</v>
      </c>
    </row>
    <row r="451">
      <c r="A451" s="0" t="s">
        <v>865</v>
      </c>
      <c r="B451" s="5">
        <v>0</v>
      </c>
      <c r="C451" s="5">
        <v>0</v>
      </c>
      <c r="D451" s="5">
        <v>10047.42</v>
      </c>
      <c r="E451" s="5">
        <v>1037486.0000000001</v>
      </c>
      <c r="F451" s="5">
        <v>10047.42</v>
      </c>
      <c r="G451" s="5">
        <v>1037486.0000000001</v>
      </c>
      <c r="H451" s="5">
        <v>2</v>
      </c>
      <c r="I451" s="5" t="s">
        <v>866</v>
      </c>
      <c r="J451" s="5">
        <v>3066750</v>
      </c>
      <c r="K451" s="5" t="s">
        <v>867</v>
      </c>
    </row>
    <row r="452">
      <c r="A452" s="0" t="s">
        <v>868</v>
      </c>
      <c r="B452" s="5">
        <v>0</v>
      </c>
      <c r="C452" s="5">
        <v>0</v>
      </c>
      <c r="D452" s="5">
        <v>10047.42</v>
      </c>
      <c r="E452" s="5">
        <v>1037486.0000000001</v>
      </c>
      <c r="F452" s="5">
        <v>10047.42</v>
      </c>
      <c r="G452" s="5">
        <v>1037486.0000000001</v>
      </c>
      <c r="H452" s="5">
        <v>1</v>
      </c>
      <c r="I452" s="5" t="s">
        <v>869</v>
      </c>
      <c r="J452" s="5">
        <v>3066750</v>
      </c>
      <c r="K452" s="5" t="s">
        <v>867</v>
      </c>
    </row>
    <row r="453">
      <c r="A453" s="0" t="s">
        <v>870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1</v>
      </c>
      <c r="I453" s="5" t="s">
        <v>71</v>
      </c>
      <c r="J453" s="5">
        <v>0</v>
      </c>
      <c r="K453" s="5" t="s">
        <v>71</v>
      </c>
    </row>
    <row r="454">
      <c r="A454" s="0" t="s">
        <v>871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 t="s">
        <v>71</v>
      </c>
      <c r="J454" s="5">
        <v>0</v>
      </c>
      <c r="K454" s="5" t="s">
        <v>71</v>
      </c>
    </row>
    <row r="455">
      <c r="A455" s="0" t="s">
        <v>872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5</v>
      </c>
      <c r="I455" s="5" t="s">
        <v>71</v>
      </c>
      <c r="J455" s="5">
        <v>0</v>
      </c>
      <c r="K455" s="5" t="s">
        <v>71</v>
      </c>
    </row>
    <row r="456">
      <c r="A456" s="0" t="s">
        <v>873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1</v>
      </c>
      <c r="I456" s="5" t="s">
        <v>71</v>
      </c>
      <c r="J456" s="5">
        <v>0</v>
      </c>
      <c r="K456" s="5" t="s">
        <v>71</v>
      </c>
    </row>
    <row r="457">
      <c r="A457" s="0" t="s">
        <v>874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1</v>
      </c>
      <c r="I457" s="5" t="s">
        <v>71</v>
      </c>
      <c r="J457" s="5">
        <v>0</v>
      </c>
      <c r="K457" s="5" t="s">
        <v>71</v>
      </c>
    </row>
    <row r="458">
      <c r="A458" s="0" t="s">
        <v>875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1</v>
      </c>
      <c r="I458" s="5" t="s">
        <v>71</v>
      </c>
      <c r="J458" s="5">
        <v>0</v>
      </c>
      <c r="K458" s="5" t="s">
        <v>71</v>
      </c>
    </row>
    <row r="459">
      <c r="A459" s="0" t="s">
        <v>876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1</v>
      </c>
      <c r="I459" s="5" t="s">
        <v>71</v>
      </c>
      <c r="J459" s="5">
        <v>0</v>
      </c>
      <c r="K459" s="5" t="s">
        <v>71</v>
      </c>
    </row>
    <row r="460">
      <c r="A460" s="0" t="s">
        <v>877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1</v>
      </c>
      <c r="I460" s="5" t="s">
        <v>71</v>
      </c>
      <c r="J460" s="5">
        <v>0</v>
      </c>
      <c r="K460" s="5" t="s">
        <v>71</v>
      </c>
    </row>
    <row r="461">
      <c r="A461" s="0" t="s">
        <v>878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 t="s">
        <v>71</v>
      </c>
      <c r="J461" s="5">
        <v>0</v>
      </c>
      <c r="K461" s="5" t="s">
        <v>71</v>
      </c>
    </row>
    <row r="462">
      <c r="A462" s="0" t="s">
        <v>879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1</v>
      </c>
      <c r="I462" s="5" t="s">
        <v>71</v>
      </c>
      <c r="J462" s="5">
        <v>0</v>
      </c>
      <c r="K462" s="5" t="s">
        <v>71</v>
      </c>
    </row>
    <row r="463">
      <c r="A463" s="0" t="s">
        <v>880</v>
      </c>
      <c r="B463" s="5">
        <v>0</v>
      </c>
      <c r="C463" s="5">
        <v>0</v>
      </c>
      <c r="D463" s="5">
        <v>6330.94</v>
      </c>
      <c r="E463" s="5">
        <v>677769</v>
      </c>
      <c r="F463" s="5">
        <v>6330.94</v>
      </c>
      <c r="G463" s="5">
        <v>677769</v>
      </c>
      <c r="H463" s="5">
        <v>5</v>
      </c>
      <c r="I463" s="5" t="s">
        <v>881</v>
      </c>
      <c r="J463" s="5">
        <v>3613610</v>
      </c>
      <c r="K463" s="5" t="s">
        <v>882</v>
      </c>
    </row>
    <row r="464">
      <c r="A464" s="0" t="s">
        <v>883</v>
      </c>
      <c r="B464" s="5">
        <v>0</v>
      </c>
      <c r="C464" s="5">
        <v>0</v>
      </c>
      <c r="D464" s="5">
        <v>163</v>
      </c>
      <c r="E464" s="5">
        <v>8639</v>
      </c>
      <c r="F464" s="5">
        <v>163</v>
      </c>
      <c r="G464" s="5">
        <v>8639</v>
      </c>
      <c r="H464" s="5">
        <v>1</v>
      </c>
      <c r="I464" s="5" t="s">
        <v>884</v>
      </c>
      <c r="J464" s="5">
        <v>93900</v>
      </c>
      <c r="K464" s="5" t="s">
        <v>885</v>
      </c>
    </row>
    <row r="465">
      <c r="A465" s="0" t="s">
        <v>886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1</v>
      </c>
      <c r="I465" s="5" t="s">
        <v>71</v>
      </c>
      <c r="J465" s="5">
        <v>0</v>
      </c>
      <c r="K465" s="5" t="s">
        <v>71</v>
      </c>
    </row>
    <row r="466">
      <c r="A466" s="0" t="s">
        <v>887</v>
      </c>
      <c r="B466" s="5">
        <v>0</v>
      </c>
      <c r="C466" s="5">
        <v>0</v>
      </c>
      <c r="D466" s="5">
        <v>555.5</v>
      </c>
      <c r="E466" s="5">
        <v>149954</v>
      </c>
      <c r="F466" s="5">
        <v>555.5</v>
      </c>
      <c r="G466" s="5">
        <v>149954</v>
      </c>
      <c r="H466" s="5">
        <v>1</v>
      </c>
      <c r="I466" s="5" t="s">
        <v>888</v>
      </c>
      <c r="J466" s="5">
        <v>169300</v>
      </c>
      <c r="K466" s="5" t="s">
        <v>889</v>
      </c>
    </row>
    <row r="467">
      <c r="A467" s="0" t="s">
        <v>890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1</v>
      </c>
      <c r="I467" s="5" t="s">
        <v>71</v>
      </c>
      <c r="J467" s="5">
        <v>0</v>
      </c>
      <c r="K467" s="5" t="s">
        <v>71</v>
      </c>
    </row>
    <row r="468">
      <c r="A468" s="0" t="s">
        <v>891</v>
      </c>
      <c r="B468" s="5">
        <v>0</v>
      </c>
      <c r="C468" s="5">
        <v>0</v>
      </c>
      <c r="D468" s="5">
        <v>5612.44</v>
      </c>
      <c r="E468" s="5">
        <v>519176</v>
      </c>
      <c r="F468" s="5">
        <v>5612.44</v>
      </c>
      <c r="G468" s="5">
        <v>519176</v>
      </c>
      <c r="H468" s="5">
        <v>1</v>
      </c>
      <c r="I468" s="5" t="s">
        <v>892</v>
      </c>
      <c r="J468" s="5">
        <v>3350409.9999999995</v>
      </c>
      <c r="K468" s="5" t="s">
        <v>893</v>
      </c>
    </row>
    <row r="469">
      <c r="A469" s="0" t="s">
        <v>894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 t="s">
        <v>71</v>
      </c>
      <c r="J469" s="5">
        <v>0</v>
      </c>
      <c r="K469" s="5" t="s">
        <v>71</v>
      </c>
    </row>
    <row r="470">
      <c r="A470" s="0" t="s">
        <v>895</v>
      </c>
      <c r="B470" s="5">
        <v>0</v>
      </c>
      <c r="C470" s="5">
        <v>0</v>
      </c>
      <c r="D470" s="5">
        <v>136</v>
      </c>
      <c r="E470" s="5">
        <v>899184</v>
      </c>
      <c r="F470" s="5">
        <v>136</v>
      </c>
      <c r="G470" s="5">
        <v>899184</v>
      </c>
      <c r="H470" s="5">
        <v>5</v>
      </c>
      <c r="I470" s="5" t="s">
        <v>896</v>
      </c>
      <c r="J470" s="5">
        <v>1082545</v>
      </c>
      <c r="K470" s="5" t="s">
        <v>897</v>
      </c>
    </row>
    <row r="471">
      <c r="A471" s="0" t="s">
        <v>898</v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1</v>
      </c>
      <c r="I471" s="5" t="s">
        <v>71</v>
      </c>
      <c r="J471" s="5">
        <v>650105</v>
      </c>
      <c r="K471" s="5" t="s">
        <v>71</v>
      </c>
    </row>
    <row r="472">
      <c r="A472" s="0" t="s">
        <v>899</v>
      </c>
      <c r="B472" s="5">
        <v>0</v>
      </c>
      <c r="C472" s="5">
        <v>0</v>
      </c>
      <c r="D472" s="5">
        <v>136</v>
      </c>
      <c r="E472" s="5">
        <v>899184</v>
      </c>
      <c r="F472" s="5">
        <v>136</v>
      </c>
      <c r="G472" s="5">
        <v>899184</v>
      </c>
      <c r="H472" s="5">
        <v>1</v>
      </c>
      <c r="I472" s="5" t="s">
        <v>900</v>
      </c>
      <c r="J472" s="5">
        <v>432440</v>
      </c>
      <c r="K472" s="5" t="s">
        <v>901</v>
      </c>
    </row>
    <row r="473">
      <c r="A473" s="0" t="s">
        <v>902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1</v>
      </c>
      <c r="I473" s="5" t="s">
        <v>71</v>
      </c>
      <c r="J473" s="5">
        <v>0</v>
      </c>
      <c r="K473" s="5" t="s">
        <v>71</v>
      </c>
    </row>
    <row r="474">
      <c r="A474" s="0" t="s">
        <v>903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1</v>
      </c>
      <c r="I474" s="5" t="s">
        <v>71</v>
      </c>
      <c r="J474" s="5">
        <v>0</v>
      </c>
      <c r="K474" s="5" t="s">
        <v>71</v>
      </c>
    </row>
    <row r="475">
      <c r="A475" s="0" t="s">
        <v>904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1</v>
      </c>
      <c r="I475" s="5" t="s">
        <v>71</v>
      </c>
      <c r="J475" s="5">
        <v>0</v>
      </c>
      <c r="K475" s="5" t="s">
        <v>71</v>
      </c>
    </row>
    <row r="476">
      <c r="A476" s="0" t="s">
        <v>905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 t="s">
        <v>71</v>
      </c>
      <c r="J476" s="5">
        <v>0</v>
      </c>
      <c r="K476" s="5" t="s">
        <v>71</v>
      </c>
    </row>
    <row r="477">
      <c r="A477" s="0" t="s">
        <v>906</v>
      </c>
      <c r="B477" s="5">
        <v>0</v>
      </c>
      <c r="C477" s="5">
        <v>0</v>
      </c>
      <c r="D477" s="5">
        <v>41.9</v>
      </c>
      <c r="E477" s="5">
        <v>59120</v>
      </c>
      <c r="F477" s="5">
        <v>41.9</v>
      </c>
      <c r="G477" s="5">
        <v>59120</v>
      </c>
      <c r="H477" s="5">
        <v>2</v>
      </c>
      <c r="I477" s="5" t="s">
        <v>907</v>
      </c>
      <c r="J477" s="5">
        <v>190100</v>
      </c>
      <c r="K477" s="5" t="s">
        <v>908</v>
      </c>
    </row>
    <row r="478">
      <c r="A478" s="0" t="s">
        <v>909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1</v>
      </c>
      <c r="I478" s="5" t="s">
        <v>71</v>
      </c>
      <c r="J478" s="5">
        <v>0</v>
      </c>
      <c r="K478" s="5" t="s">
        <v>71</v>
      </c>
    </row>
    <row r="479">
      <c r="A479" s="0" t="s">
        <v>910</v>
      </c>
      <c r="B479" s="5">
        <v>0</v>
      </c>
      <c r="C479" s="5">
        <v>0</v>
      </c>
      <c r="D479" s="5">
        <v>41.9</v>
      </c>
      <c r="E479" s="5">
        <v>59120</v>
      </c>
      <c r="F479" s="5">
        <v>41.9</v>
      </c>
      <c r="G479" s="5">
        <v>59120</v>
      </c>
      <c r="H479" s="5">
        <v>1</v>
      </c>
      <c r="I479" s="5" t="s">
        <v>911</v>
      </c>
      <c r="J479" s="5">
        <v>190100</v>
      </c>
      <c r="K479" s="5" t="s">
        <v>908</v>
      </c>
    </row>
    <row r="480">
      <c r="A480" s="0" t="s">
        <v>912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 t="s">
        <v>71</v>
      </c>
      <c r="J480" s="5">
        <v>0</v>
      </c>
      <c r="K480" s="5" t="s">
        <v>71</v>
      </c>
    </row>
    <row r="481">
      <c r="A481" s="0" t="s">
        <v>913</v>
      </c>
      <c r="B481" s="5">
        <v>118.07000000000001</v>
      </c>
      <c r="C481" s="5">
        <v>80347.5</v>
      </c>
      <c r="D481" s="5">
        <v>886934.49</v>
      </c>
      <c r="E481" s="5">
        <v>497913.5</v>
      </c>
      <c r="F481" s="5">
        <v>887052.55999999994</v>
      </c>
      <c r="G481" s="5">
        <v>578261</v>
      </c>
      <c r="H481" s="5">
        <v>4</v>
      </c>
      <c r="I481" s="5" t="s">
        <v>914</v>
      </c>
      <c r="J481" s="5">
        <v>423230</v>
      </c>
      <c r="K481" s="5" t="s">
        <v>915</v>
      </c>
    </row>
    <row r="482">
      <c r="A482" s="0" t="s">
        <v>916</v>
      </c>
      <c r="B482" s="5">
        <v>118.07000000000001</v>
      </c>
      <c r="C482" s="5">
        <v>80347.5</v>
      </c>
      <c r="D482" s="5">
        <v>497913.5</v>
      </c>
      <c r="E482" s="5">
        <v>497913.5</v>
      </c>
      <c r="F482" s="5">
        <v>498031.56999999995</v>
      </c>
      <c r="G482" s="5">
        <v>578261</v>
      </c>
      <c r="H482" s="5">
        <v>1</v>
      </c>
      <c r="I482" s="5" t="s">
        <v>917</v>
      </c>
      <c r="J482" s="5">
        <v>0</v>
      </c>
      <c r="K482" s="5" t="s">
        <v>71</v>
      </c>
    </row>
    <row r="483">
      <c r="A483" s="0" t="s">
        <v>918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1</v>
      </c>
      <c r="I483" s="5" t="s">
        <v>71</v>
      </c>
      <c r="J483" s="5">
        <v>0</v>
      </c>
      <c r="K483" s="5" t="s">
        <v>71</v>
      </c>
    </row>
    <row r="484">
      <c r="A484" s="0" t="s">
        <v>919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1</v>
      </c>
      <c r="I484" s="5" t="s">
        <v>71</v>
      </c>
      <c r="J484" s="5">
        <v>0</v>
      </c>
      <c r="K484" s="5" t="s">
        <v>71</v>
      </c>
    </row>
    <row r="485">
      <c r="A485" s="0" t="s">
        <v>920</v>
      </c>
      <c r="B485" s="5">
        <v>0</v>
      </c>
      <c r="C485" s="5">
        <v>0</v>
      </c>
      <c r="D485" s="5">
        <v>389020.99</v>
      </c>
      <c r="E485" s="5">
        <v>0</v>
      </c>
      <c r="F485" s="5">
        <v>389020.99</v>
      </c>
      <c r="G485" s="5">
        <v>0</v>
      </c>
      <c r="H485" s="5">
        <v>1</v>
      </c>
      <c r="I485" s="5" t="s">
        <v>921</v>
      </c>
      <c r="J485" s="5">
        <v>423230</v>
      </c>
      <c r="K485" s="5" t="s">
        <v>71</v>
      </c>
    </row>
    <row r="486">
      <c r="A486" s="0" t="s">
        <v>922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 t="s">
        <v>71</v>
      </c>
      <c r="J486" s="5">
        <v>0</v>
      </c>
      <c r="K486" s="5" t="s">
        <v>71</v>
      </c>
    </row>
    <row r="487">
      <c r="A487" s="0" t="s">
        <v>923</v>
      </c>
      <c r="B487" s="5">
        <v>3654.0000000000005</v>
      </c>
      <c r="C487" s="5">
        <v>36540</v>
      </c>
      <c r="D487" s="5">
        <v>12859.999999999998</v>
      </c>
      <c r="E487" s="5">
        <v>2671637.6</v>
      </c>
      <c r="F487" s="5">
        <v>16514</v>
      </c>
      <c r="G487" s="5">
        <v>2708177.6</v>
      </c>
      <c r="H487" s="5">
        <v>8</v>
      </c>
      <c r="I487" s="5" t="s">
        <v>924</v>
      </c>
      <c r="J487" s="5">
        <v>3870070</v>
      </c>
      <c r="K487" s="5" t="s">
        <v>925</v>
      </c>
    </row>
    <row r="488">
      <c r="A488" s="0" t="s">
        <v>926</v>
      </c>
      <c r="B488" s="5">
        <v>0</v>
      </c>
      <c r="C488" s="5">
        <v>0</v>
      </c>
      <c r="D488" s="5">
        <v>5105</v>
      </c>
      <c r="E488" s="5">
        <v>1483497.6</v>
      </c>
      <c r="F488" s="5">
        <v>5105</v>
      </c>
      <c r="G488" s="5">
        <v>1483497.6</v>
      </c>
      <c r="H488" s="5">
        <v>1</v>
      </c>
      <c r="I488" s="5" t="s">
        <v>927</v>
      </c>
      <c r="J488" s="5">
        <v>1703790</v>
      </c>
      <c r="K488" s="5" t="s">
        <v>928</v>
      </c>
    </row>
    <row r="489">
      <c r="A489" s="0" t="s">
        <v>929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1</v>
      </c>
      <c r="I489" s="5" t="s">
        <v>71</v>
      </c>
      <c r="J489" s="5">
        <v>0</v>
      </c>
      <c r="K489" s="5" t="s">
        <v>71</v>
      </c>
    </row>
    <row r="490">
      <c r="A490" s="0" t="s">
        <v>930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1</v>
      </c>
      <c r="I490" s="5" t="s">
        <v>71</v>
      </c>
      <c r="J490" s="5">
        <v>0</v>
      </c>
      <c r="K490" s="5" t="s">
        <v>71</v>
      </c>
    </row>
    <row r="491">
      <c r="A491" s="0" t="s">
        <v>931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1</v>
      </c>
      <c r="I491" s="5" t="s">
        <v>71</v>
      </c>
      <c r="J491" s="5">
        <v>0</v>
      </c>
      <c r="K491" s="5" t="s">
        <v>71</v>
      </c>
    </row>
    <row r="492">
      <c r="A492" s="0" t="s">
        <v>932</v>
      </c>
      <c r="B492" s="5">
        <v>3654.0000000000005</v>
      </c>
      <c r="C492" s="5">
        <v>36540</v>
      </c>
      <c r="D492" s="5">
        <v>7491.0000000000009</v>
      </c>
      <c r="E492" s="5">
        <v>1101240</v>
      </c>
      <c r="F492" s="5">
        <v>11145</v>
      </c>
      <c r="G492" s="5">
        <v>1137780</v>
      </c>
      <c r="H492" s="5">
        <v>1</v>
      </c>
      <c r="I492" s="5" t="s">
        <v>933</v>
      </c>
      <c r="J492" s="5">
        <v>446880</v>
      </c>
      <c r="K492" s="5" t="s">
        <v>934</v>
      </c>
    </row>
    <row r="493">
      <c r="A493" s="0" t="s">
        <v>935</v>
      </c>
      <c r="B493" s="5">
        <v>0</v>
      </c>
      <c r="C493" s="5">
        <v>0</v>
      </c>
      <c r="D493" s="5">
        <v>264</v>
      </c>
      <c r="E493" s="5">
        <v>86900</v>
      </c>
      <c r="F493" s="5">
        <v>264</v>
      </c>
      <c r="G493" s="5">
        <v>86900</v>
      </c>
      <c r="H493" s="5">
        <v>1</v>
      </c>
      <c r="I493" s="5" t="s">
        <v>936</v>
      </c>
      <c r="J493" s="5">
        <v>1719400</v>
      </c>
      <c r="K493" s="5" t="s">
        <v>937</v>
      </c>
    </row>
    <row r="494">
      <c r="A494" s="0" t="s">
        <v>938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1</v>
      </c>
      <c r="I494" s="5" t="s">
        <v>71</v>
      </c>
      <c r="J494" s="5">
        <v>0</v>
      </c>
      <c r="K494" s="5" t="s">
        <v>71</v>
      </c>
    </row>
    <row r="495">
      <c r="A495" s="0" t="s">
        <v>939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1</v>
      </c>
      <c r="I495" s="5" t="s">
        <v>71</v>
      </c>
      <c r="J495" s="5">
        <v>0</v>
      </c>
      <c r="K495" s="5" t="s">
        <v>71</v>
      </c>
    </row>
    <row r="496">
      <c r="A496" s="0" t="s">
        <v>940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1</v>
      </c>
      <c r="I496" s="5" t="s">
        <v>71</v>
      </c>
      <c r="J496" s="5">
        <v>0</v>
      </c>
      <c r="K496" s="5" t="s">
        <v>71</v>
      </c>
    </row>
    <row r="497">
      <c r="A497" s="0" t="s">
        <v>941</v>
      </c>
      <c r="B497" s="5">
        <v>0</v>
      </c>
      <c r="C497" s="5">
        <v>0</v>
      </c>
      <c r="D497" s="5">
        <v>286.84999999999997</v>
      </c>
      <c r="E497" s="5">
        <v>1169700</v>
      </c>
      <c r="F497" s="5">
        <v>286.84999999999997</v>
      </c>
      <c r="G497" s="5">
        <v>1169700</v>
      </c>
      <c r="H497" s="5">
        <v>5</v>
      </c>
      <c r="I497" s="5" t="s">
        <v>942</v>
      </c>
      <c r="J497" s="5">
        <v>2241340</v>
      </c>
      <c r="K497" s="5" t="s">
        <v>943</v>
      </c>
    </row>
    <row r="498">
      <c r="A498" s="0" t="s">
        <v>944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1</v>
      </c>
      <c r="I498" s="5" t="s">
        <v>71</v>
      </c>
      <c r="J498" s="5">
        <v>0</v>
      </c>
      <c r="K498" s="5" t="s">
        <v>71</v>
      </c>
    </row>
    <row r="499">
      <c r="A499" s="0" t="s">
        <v>945</v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1</v>
      </c>
      <c r="I499" s="5" t="s">
        <v>71</v>
      </c>
      <c r="J499" s="5">
        <v>0</v>
      </c>
      <c r="K499" s="5" t="s">
        <v>71</v>
      </c>
    </row>
    <row r="500">
      <c r="A500" s="0" t="s">
        <v>946</v>
      </c>
      <c r="B500" s="5">
        <v>0</v>
      </c>
      <c r="C500" s="5">
        <v>0</v>
      </c>
      <c r="D500" s="5">
        <v>284.85</v>
      </c>
      <c r="E500" s="5">
        <v>1162200</v>
      </c>
      <c r="F500" s="5">
        <v>284.85</v>
      </c>
      <c r="G500" s="5">
        <v>1162200</v>
      </c>
      <c r="H500" s="5">
        <v>1</v>
      </c>
      <c r="I500" s="5" t="s">
        <v>947</v>
      </c>
      <c r="J500" s="5">
        <v>2241340</v>
      </c>
      <c r="K500" s="5" t="s">
        <v>948</v>
      </c>
    </row>
    <row r="501">
      <c r="A501" s="0" t="s">
        <v>949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1</v>
      </c>
      <c r="I501" s="5" t="s">
        <v>71</v>
      </c>
      <c r="J501" s="5">
        <v>0</v>
      </c>
      <c r="K501" s="5" t="s">
        <v>71</v>
      </c>
    </row>
    <row r="502">
      <c r="A502" s="0" t="s">
        <v>950</v>
      </c>
      <c r="B502" s="5">
        <v>0</v>
      </c>
      <c r="C502" s="5">
        <v>0</v>
      </c>
      <c r="D502" s="5">
        <v>2</v>
      </c>
      <c r="E502" s="5">
        <v>7500</v>
      </c>
      <c r="F502" s="5">
        <v>2</v>
      </c>
      <c r="G502" s="5">
        <v>7500</v>
      </c>
      <c r="H502" s="5">
        <v>1</v>
      </c>
      <c r="I502" s="5" t="s">
        <v>458</v>
      </c>
      <c r="J502" s="5">
        <v>0</v>
      </c>
      <c r="K502" s="5" t="s">
        <v>71</v>
      </c>
    </row>
    <row r="503">
      <c r="A503" s="0" t="s">
        <v>951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 t="s">
        <v>71</v>
      </c>
      <c r="J503" s="5">
        <v>0</v>
      </c>
      <c r="K503" s="5" t="s">
        <v>71</v>
      </c>
    </row>
    <row r="504">
      <c r="A504" s="0" t="s">
        <v>952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3</v>
      </c>
      <c r="I504" s="5" t="s">
        <v>71</v>
      </c>
      <c r="J504" s="5">
        <v>0</v>
      </c>
      <c r="K504" s="5" t="s">
        <v>71</v>
      </c>
    </row>
    <row r="505">
      <c r="A505" s="0" t="s">
        <v>953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1</v>
      </c>
      <c r="I505" s="5" t="s">
        <v>71</v>
      </c>
      <c r="J505" s="5">
        <v>0</v>
      </c>
      <c r="K505" s="5" t="s">
        <v>71</v>
      </c>
    </row>
    <row r="506">
      <c r="A506" s="0" t="s">
        <v>954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1</v>
      </c>
      <c r="I506" s="5" t="s">
        <v>71</v>
      </c>
      <c r="J506" s="5">
        <v>0</v>
      </c>
      <c r="K506" s="5" t="s">
        <v>71</v>
      </c>
    </row>
    <row r="507">
      <c r="A507" s="0" t="s">
        <v>955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1</v>
      </c>
      <c r="I507" s="5" t="s">
        <v>71</v>
      </c>
      <c r="J507" s="5">
        <v>0</v>
      </c>
      <c r="K507" s="5" t="s">
        <v>71</v>
      </c>
    </row>
    <row r="508">
      <c r="A508" s="0" t="s">
        <v>956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 t="s">
        <v>71</v>
      </c>
      <c r="J508" s="5">
        <v>0</v>
      </c>
      <c r="K508" s="5" t="s">
        <v>71</v>
      </c>
    </row>
    <row r="509">
      <c r="A509" s="0" t="s">
        <v>957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1</v>
      </c>
      <c r="I509" s="5" t="s">
        <v>71</v>
      </c>
      <c r="J509" s="5">
        <v>0</v>
      </c>
      <c r="K509" s="5" t="s">
        <v>71</v>
      </c>
    </row>
    <row r="510">
      <c r="A510" s="0" t="s">
        <v>958</v>
      </c>
      <c r="B510" s="5">
        <v>0</v>
      </c>
      <c r="C510" s="5">
        <v>0</v>
      </c>
      <c r="D510" s="5">
        <v>7088.35</v>
      </c>
      <c r="E510" s="5">
        <v>3642945.87</v>
      </c>
      <c r="F510" s="5">
        <v>7088.35</v>
      </c>
      <c r="G510" s="5">
        <v>3642945.87</v>
      </c>
      <c r="H510" s="5">
        <v>3</v>
      </c>
      <c r="I510" s="5" t="s">
        <v>959</v>
      </c>
      <c r="J510" s="5">
        <v>3034174</v>
      </c>
      <c r="K510" s="5" t="s">
        <v>960</v>
      </c>
    </row>
    <row r="511">
      <c r="A511" s="0" t="s">
        <v>961</v>
      </c>
      <c r="B511" s="5">
        <v>0</v>
      </c>
      <c r="C511" s="5">
        <v>0</v>
      </c>
      <c r="D511" s="5">
        <v>1</v>
      </c>
      <c r="E511" s="5">
        <v>100608</v>
      </c>
      <c r="F511" s="5">
        <v>1</v>
      </c>
      <c r="G511" s="5">
        <v>100608</v>
      </c>
      <c r="H511" s="5">
        <v>1</v>
      </c>
      <c r="I511" s="5" t="s">
        <v>110</v>
      </c>
      <c r="J511" s="5">
        <v>18000</v>
      </c>
      <c r="K511" s="5" t="s">
        <v>962</v>
      </c>
    </row>
    <row r="512">
      <c r="A512" s="0" t="s">
        <v>963</v>
      </c>
      <c r="B512" s="5">
        <v>0</v>
      </c>
      <c r="C512" s="5">
        <v>0</v>
      </c>
      <c r="D512" s="5">
        <v>634.80000000000007</v>
      </c>
      <c r="E512" s="5">
        <v>1255638</v>
      </c>
      <c r="F512" s="5">
        <v>634.80000000000007</v>
      </c>
      <c r="G512" s="5">
        <v>1255638</v>
      </c>
      <c r="H512" s="5">
        <v>1</v>
      </c>
      <c r="I512" s="5" t="s">
        <v>964</v>
      </c>
      <c r="J512" s="5">
        <v>1543333</v>
      </c>
      <c r="K512" s="5" t="s">
        <v>965</v>
      </c>
    </row>
    <row r="513">
      <c r="A513" s="0" t="s">
        <v>966</v>
      </c>
      <c r="B513" s="5">
        <v>0</v>
      </c>
      <c r="C513" s="5">
        <v>0</v>
      </c>
      <c r="D513" s="5">
        <v>6452.55</v>
      </c>
      <c r="E513" s="5">
        <v>2286699.87</v>
      </c>
      <c r="F513" s="5">
        <v>6452.55</v>
      </c>
      <c r="G513" s="5">
        <v>2286699.87</v>
      </c>
      <c r="H513" s="5">
        <v>1</v>
      </c>
      <c r="I513" s="5" t="s">
        <v>967</v>
      </c>
      <c r="J513" s="5">
        <v>1472841</v>
      </c>
      <c r="K513" s="5" t="s">
        <v>968</v>
      </c>
    </row>
    <row r="514">
      <c r="A514" s="0" t="s">
        <v>969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 t="s">
        <v>71</v>
      </c>
      <c r="J514" s="5">
        <v>0</v>
      </c>
      <c r="K514" s="5" t="s">
        <v>71</v>
      </c>
    </row>
    <row r="515">
      <c r="A515" s="0" t="s">
        <v>970</v>
      </c>
      <c r="B515" s="5">
        <v>0</v>
      </c>
      <c r="C515" s="5">
        <v>0</v>
      </c>
      <c r="D515" s="5">
        <v>303146.85000000003</v>
      </c>
      <c r="E515" s="5">
        <v>7810268.3900000006</v>
      </c>
      <c r="F515" s="5">
        <v>303146.85000000003</v>
      </c>
      <c r="G515" s="5">
        <v>7810268.3900000006</v>
      </c>
      <c r="H515" s="5">
        <v>2</v>
      </c>
      <c r="I515" s="5" t="s">
        <v>971</v>
      </c>
      <c r="J515" s="5">
        <v>14894860</v>
      </c>
      <c r="K515" s="5" t="s">
        <v>972</v>
      </c>
    </row>
    <row r="516">
      <c r="A516" s="0" t="s">
        <v>973</v>
      </c>
      <c r="B516" s="5">
        <v>0</v>
      </c>
      <c r="C516" s="5">
        <v>0</v>
      </c>
      <c r="D516" s="5">
        <v>3146.8500000000004</v>
      </c>
      <c r="E516" s="5">
        <v>7510268.39</v>
      </c>
      <c r="F516" s="5">
        <v>3146.8500000000004</v>
      </c>
      <c r="G516" s="5">
        <v>7510268.39</v>
      </c>
      <c r="H516" s="5">
        <v>1</v>
      </c>
      <c r="I516" s="5" t="s">
        <v>974</v>
      </c>
      <c r="J516" s="5">
        <v>14587959.999999998</v>
      </c>
      <c r="K516" s="5" t="s">
        <v>975</v>
      </c>
    </row>
    <row r="517">
      <c r="A517" s="0" t="s">
        <v>976</v>
      </c>
      <c r="B517" s="5">
        <v>0</v>
      </c>
      <c r="C517" s="5">
        <v>0</v>
      </c>
      <c r="D517" s="5">
        <v>300000</v>
      </c>
      <c r="E517" s="5">
        <v>300000</v>
      </c>
      <c r="F517" s="5">
        <v>300000</v>
      </c>
      <c r="G517" s="5">
        <v>300000</v>
      </c>
      <c r="H517" s="5">
        <v>1</v>
      </c>
      <c r="I517" s="5" t="s">
        <v>977</v>
      </c>
      <c r="J517" s="5">
        <v>306900</v>
      </c>
      <c r="K517" s="5" t="s">
        <v>978</v>
      </c>
    </row>
    <row r="518">
      <c r="A518" s="0" t="s">
        <v>979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 t="s">
        <v>71</v>
      </c>
      <c r="J518" s="5">
        <v>0</v>
      </c>
      <c r="K518" s="5" t="s">
        <v>71</v>
      </c>
    </row>
    <row r="519">
      <c r="A519" s="0" t="s">
        <v>980</v>
      </c>
      <c r="B519" s="5">
        <v>2013.73</v>
      </c>
      <c r="C519" s="5">
        <v>63457.85</v>
      </c>
      <c r="D519" s="5">
        <v>32537</v>
      </c>
      <c r="E519" s="5">
        <v>2123262.51</v>
      </c>
      <c r="F519" s="5">
        <v>34550.729999999996</v>
      </c>
      <c r="G519" s="5">
        <v>2186720.36</v>
      </c>
      <c r="H519" s="5">
        <v>6</v>
      </c>
      <c r="I519" s="5" t="s">
        <v>981</v>
      </c>
      <c r="J519" s="5">
        <v>2832926</v>
      </c>
      <c r="K519" s="5" t="s">
        <v>982</v>
      </c>
    </row>
    <row r="520">
      <c r="A520" s="0" t="s">
        <v>983</v>
      </c>
      <c r="B520" s="5">
        <v>1587.35</v>
      </c>
      <c r="C520" s="5">
        <v>38750.05</v>
      </c>
      <c r="D520" s="5">
        <v>29243.000000000004</v>
      </c>
      <c r="E520" s="5">
        <v>1854282.51</v>
      </c>
      <c r="F520" s="5">
        <v>30830.350000000002</v>
      </c>
      <c r="G520" s="5">
        <v>1893032.5599999998</v>
      </c>
      <c r="H520" s="5">
        <v>1</v>
      </c>
      <c r="I520" s="5" t="s">
        <v>984</v>
      </c>
      <c r="J520" s="5">
        <v>2602730</v>
      </c>
      <c r="K520" s="5" t="s">
        <v>985</v>
      </c>
    </row>
    <row r="521">
      <c r="A521" s="0" t="s">
        <v>986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1</v>
      </c>
      <c r="I521" s="5" t="s">
        <v>71</v>
      </c>
      <c r="J521" s="5">
        <v>0</v>
      </c>
      <c r="K521" s="5" t="s">
        <v>71</v>
      </c>
    </row>
    <row r="522">
      <c r="A522" s="0" t="s">
        <v>987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1</v>
      </c>
      <c r="I522" s="5" t="s">
        <v>71</v>
      </c>
      <c r="J522" s="5">
        <v>0</v>
      </c>
      <c r="K522" s="5" t="s">
        <v>71</v>
      </c>
    </row>
    <row r="523">
      <c r="A523" s="0" t="s">
        <v>988</v>
      </c>
      <c r="B523" s="5">
        <v>191.18</v>
      </c>
      <c r="C523" s="5">
        <v>10595.800000000001</v>
      </c>
      <c r="D523" s="5">
        <v>0</v>
      </c>
      <c r="E523" s="5">
        <v>0</v>
      </c>
      <c r="F523" s="5">
        <v>191.18</v>
      </c>
      <c r="G523" s="5">
        <v>10595.800000000001</v>
      </c>
      <c r="H523" s="5">
        <v>1</v>
      </c>
      <c r="I523" s="5" t="s">
        <v>989</v>
      </c>
      <c r="J523" s="5">
        <v>0</v>
      </c>
      <c r="K523" s="5" t="s">
        <v>71</v>
      </c>
    </row>
    <row r="524">
      <c r="A524" s="0" t="s">
        <v>990</v>
      </c>
      <c r="B524" s="5">
        <v>0</v>
      </c>
      <c r="C524" s="5">
        <v>0</v>
      </c>
      <c r="D524" s="5">
        <v>973</v>
      </c>
      <c r="E524" s="5">
        <v>94200</v>
      </c>
      <c r="F524" s="5">
        <v>973</v>
      </c>
      <c r="G524" s="5">
        <v>94200</v>
      </c>
      <c r="H524" s="5">
        <v>1</v>
      </c>
      <c r="I524" s="5" t="s">
        <v>991</v>
      </c>
      <c r="J524" s="5">
        <v>86671</v>
      </c>
      <c r="K524" s="5" t="s">
        <v>992</v>
      </c>
    </row>
    <row r="525">
      <c r="A525" s="0" t="s">
        <v>993</v>
      </c>
      <c r="B525" s="5">
        <v>235.2</v>
      </c>
      <c r="C525" s="5">
        <v>14112</v>
      </c>
      <c r="D525" s="5">
        <v>2321</v>
      </c>
      <c r="E525" s="5">
        <v>174780</v>
      </c>
      <c r="F525" s="5">
        <v>2556.2000000000003</v>
      </c>
      <c r="G525" s="5">
        <v>188892</v>
      </c>
      <c r="H525" s="5">
        <v>1</v>
      </c>
      <c r="I525" s="5" t="s">
        <v>994</v>
      </c>
      <c r="J525" s="5">
        <v>143525</v>
      </c>
      <c r="K525" s="5" t="s">
        <v>995</v>
      </c>
    </row>
    <row r="526">
      <c r="A526" s="0" t="s">
        <v>996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 t="s">
        <v>71</v>
      </c>
      <c r="J526" s="5">
        <v>0</v>
      </c>
      <c r="K526" s="5" t="s">
        <v>71</v>
      </c>
    </row>
    <row r="527">
      <c r="A527" s="0" t="s">
        <v>997</v>
      </c>
      <c r="B527" s="5">
        <v>0</v>
      </c>
      <c r="C527" s="5">
        <v>0</v>
      </c>
      <c r="D527" s="5">
        <v>2880</v>
      </c>
      <c r="E527" s="5">
        <v>397710.00000000006</v>
      </c>
      <c r="F527" s="5">
        <v>2880</v>
      </c>
      <c r="G527" s="5">
        <v>397710.00000000006</v>
      </c>
      <c r="H527" s="5">
        <v>1</v>
      </c>
      <c r="I527" s="5" t="s">
        <v>998</v>
      </c>
      <c r="J527" s="5">
        <v>274500</v>
      </c>
      <c r="K527" s="5" t="s">
        <v>999</v>
      </c>
    </row>
    <row r="528">
      <c r="A528" s="0" t="s">
        <v>1000</v>
      </c>
      <c r="B528" s="5">
        <v>0</v>
      </c>
      <c r="C528" s="5">
        <v>0</v>
      </c>
      <c r="D528" s="5">
        <v>3168000.0000000005</v>
      </c>
      <c r="E528" s="5">
        <v>0</v>
      </c>
      <c r="F528" s="5">
        <v>3168000.0000000005</v>
      </c>
      <c r="G528" s="5">
        <v>0</v>
      </c>
      <c r="H528" s="5">
        <v>1</v>
      </c>
      <c r="I528" s="5" t="s">
        <v>1001</v>
      </c>
      <c r="J528" s="5">
        <v>3960000</v>
      </c>
      <c r="K528" s="5" t="s">
        <v>71</v>
      </c>
    </row>
    <row r="529">
      <c r="A529" s="0" t="s">
        <v>1002</v>
      </c>
      <c r="B529" s="5">
        <v>0</v>
      </c>
      <c r="C529" s="5">
        <v>0</v>
      </c>
      <c r="D529" s="5">
        <v>8</v>
      </c>
      <c r="E529" s="5">
        <v>12523845.4</v>
      </c>
      <c r="F529" s="5">
        <v>8</v>
      </c>
      <c r="G529" s="5">
        <v>12523845.4</v>
      </c>
      <c r="H529" s="5">
        <v>5</v>
      </c>
      <c r="I529" s="5" t="s">
        <v>1003</v>
      </c>
      <c r="J529" s="5">
        <v>12516120</v>
      </c>
      <c r="K529" s="5" t="s">
        <v>1004</v>
      </c>
    </row>
    <row r="530">
      <c r="A530" s="0" t="s">
        <v>1005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1</v>
      </c>
      <c r="I530" s="5" t="s">
        <v>71</v>
      </c>
      <c r="J530" s="5">
        <v>0</v>
      </c>
      <c r="K530" s="5" t="s">
        <v>71</v>
      </c>
    </row>
    <row r="531">
      <c r="A531" s="0" t="s">
        <v>1006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1</v>
      </c>
      <c r="I531" s="5" t="s">
        <v>71</v>
      </c>
      <c r="J531" s="5">
        <v>0</v>
      </c>
      <c r="K531" s="5" t="s">
        <v>71</v>
      </c>
    </row>
    <row r="532">
      <c r="A532" s="0" t="s">
        <v>1007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1</v>
      </c>
      <c r="I532" s="5" t="s">
        <v>71</v>
      </c>
      <c r="J532" s="5">
        <v>0</v>
      </c>
      <c r="K532" s="5" t="s">
        <v>71</v>
      </c>
    </row>
    <row r="533">
      <c r="A533" s="0" t="s">
        <v>1008</v>
      </c>
      <c r="B533" s="5">
        <v>0</v>
      </c>
      <c r="C533" s="5">
        <v>0</v>
      </c>
      <c r="D533" s="5">
        <v>8</v>
      </c>
      <c r="E533" s="5">
        <v>12523845.4</v>
      </c>
      <c r="F533" s="5">
        <v>8</v>
      </c>
      <c r="G533" s="5">
        <v>12523845.4</v>
      </c>
      <c r="H533" s="5">
        <v>1</v>
      </c>
      <c r="I533" s="5" t="s">
        <v>253</v>
      </c>
      <c r="J533" s="5">
        <v>12516120</v>
      </c>
      <c r="K533" s="5" t="s">
        <v>1004</v>
      </c>
    </row>
    <row r="534">
      <c r="A534" s="0" t="s">
        <v>1009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1</v>
      </c>
      <c r="I534" s="5" t="s">
        <v>71</v>
      </c>
      <c r="J534" s="5">
        <v>0</v>
      </c>
      <c r="K534" s="5" t="s">
        <v>71</v>
      </c>
    </row>
    <row r="535">
      <c r="A535" s="0" t="s">
        <v>1010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 t="s">
        <v>71</v>
      </c>
      <c r="J535" s="5">
        <v>0</v>
      </c>
      <c r="K535" s="5" t="s">
        <v>71</v>
      </c>
    </row>
    <row r="536">
      <c r="A536" s="0" t="s">
        <v>1011</v>
      </c>
      <c r="B536" s="5">
        <v>0</v>
      </c>
      <c r="C536" s="5">
        <v>0</v>
      </c>
      <c r="D536" s="5">
        <v>1</v>
      </c>
      <c r="E536" s="5">
        <v>6226156.2000000011</v>
      </c>
      <c r="F536" s="5">
        <v>1</v>
      </c>
      <c r="G536" s="5">
        <v>6226156.2000000011</v>
      </c>
      <c r="H536" s="5">
        <v>1</v>
      </c>
      <c r="I536" s="5" t="s">
        <v>110</v>
      </c>
      <c r="J536" s="5">
        <v>6277260</v>
      </c>
      <c r="K536" s="5" t="s">
        <v>1012</v>
      </c>
    </row>
    <row r="537">
      <c r="A537" s="0" t="s">
        <v>1013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2</v>
      </c>
      <c r="I537" s="5" t="s">
        <v>71</v>
      </c>
      <c r="J537" s="5">
        <v>0</v>
      </c>
      <c r="K537" s="5" t="s">
        <v>71</v>
      </c>
    </row>
    <row r="538">
      <c r="A538" s="0" t="s">
        <v>1014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1</v>
      </c>
      <c r="I538" s="5" t="s">
        <v>71</v>
      </c>
      <c r="J538" s="5">
        <v>0</v>
      </c>
      <c r="K538" s="5" t="s">
        <v>71</v>
      </c>
    </row>
    <row r="539">
      <c r="A539" s="0" t="s">
        <v>1015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1</v>
      </c>
      <c r="I539" s="5" t="s">
        <v>71</v>
      </c>
      <c r="J539" s="5">
        <v>0</v>
      </c>
      <c r="K539" s="5" t="s">
        <v>71</v>
      </c>
    </row>
    <row r="540">
      <c r="A540" s="0" t="s">
        <v>1016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 t="s">
        <v>71</v>
      </c>
      <c r="J540" s="5">
        <v>0</v>
      </c>
      <c r="K540" s="5" t="s">
        <v>71</v>
      </c>
    </row>
    <row r="541">
      <c r="A541" s="0" t="s">
        <v>1017</v>
      </c>
      <c r="B541" s="5">
        <v>0</v>
      </c>
      <c r="C541" s="5">
        <v>0</v>
      </c>
      <c r="D541" s="5">
        <v>31</v>
      </c>
      <c r="E541" s="5">
        <v>191035</v>
      </c>
      <c r="F541" s="5">
        <v>31</v>
      </c>
      <c r="G541" s="5">
        <v>191035</v>
      </c>
      <c r="H541" s="5">
        <v>5</v>
      </c>
      <c r="I541" s="5" t="s">
        <v>1018</v>
      </c>
      <c r="J541" s="5">
        <v>91800</v>
      </c>
      <c r="K541" s="5" t="s">
        <v>1019</v>
      </c>
    </row>
    <row r="542">
      <c r="A542" s="0" t="s">
        <v>1020</v>
      </c>
      <c r="B542" s="5">
        <v>0</v>
      </c>
      <c r="C542" s="5">
        <v>0</v>
      </c>
      <c r="D542" s="5">
        <v>3</v>
      </c>
      <c r="E542" s="5">
        <v>112635</v>
      </c>
      <c r="F542" s="5">
        <v>3</v>
      </c>
      <c r="G542" s="5">
        <v>112635</v>
      </c>
      <c r="H542" s="5">
        <v>1</v>
      </c>
      <c r="I542" s="5" t="s">
        <v>453</v>
      </c>
      <c r="J542" s="5">
        <v>91800</v>
      </c>
      <c r="K542" s="5" t="s">
        <v>1021</v>
      </c>
    </row>
    <row r="543">
      <c r="A543" s="0" t="s">
        <v>1022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1</v>
      </c>
      <c r="I543" s="5" t="s">
        <v>71</v>
      </c>
      <c r="J543" s="5">
        <v>0</v>
      </c>
      <c r="K543" s="5" t="s">
        <v>71</v>
      </c>
    </row>
    <row r="544">
      <c r="A544" s="0" t="s">
        <v>1023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1</v>
      </c>
      <c r="I544" s="5" t="s">
        <v>71</v>
      </c>
      <c r="J544" s="5">
        <v>0</v>
      </c>
      <c r="K544" s="5" t="s">
        <v>71</v>
      </c>
    </row>
    <row r="545">
      <c r="A545" s="0" t="s">
        <v>1024</v>
      </c>
      <c r="B545" s="5">
        <v>0</v>
      </c>
      <c r="C545" s="5">
        <v>0</v>
      </c>
      <c r="D545" s="5">
        <v>28</v>
      </c>
      <c r="E545" s="5">
        <v>78400</v>
      </c>
      <c r="F545" s="5">
        <v>28</v>
      </c>
      <c r="G545" s="5">
        <v>78400</v>
      </c>
      <c r="H545" s="5">
        <v>1</v>
      </c>
      <c r="I545" s="5" t="s">
        <v>1025</v>
      </c>
      <c r="J545" s="5">
        <v>0</v>
      </c>
      <c r="K545" s="5" t="s">
        <v>71</v>
      </c>
    </row>
    <row r="546">
      <c r="A546" s="0" t="s">
        <v>1026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1</v>
      </c>
      <c r="I546" s="5" t="s">
        <v>71</v>
      </c>
      <c r="J546" s="5">
        <v>0</v>
      </c>
      <c r="K546" s="5" t="s">
        <v>71</v>
      </c>
    </row>
    <row r="547">
      <c r="A547" s="0" t="s">
        <v>1027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 t="s">
        <v>71</v>
      </c>
      <c r="J547" s="5">
        <v>0</v>
      </c>
      <c r="K547" s="5" t="s">
        <v>71</v>
      </c>
    </row>
    <row r="548">
      <c r="A548" s="0" t="s">
        <v>1028</v>
      </c>
      <c r="B548" s="5">
        <v>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1</v>
      </c>
      <c r="I548" s="5" t="s">
        <v>71</v>
      </c>
      <c r="J548" s="5">
        <v>0</v>
      </c>
      <c r="K548" s="5" t="s">
        <v>71</v>
      </c>
    </row>
    <row r="549">
      <c r="A549" s="0" t="s">
        <v>1029</v>
      </c>
      <c r="B549" s="5">
        <v>0</v>
      </c>
      <c r="C549" s="5">
        <v>0</v>
      </c>
      <c r="D549" s="5">
        <v>1</v>
      </c>
      <c r="E549" s="5">
        <v>234156</v>
      </c>
      <c r="F549" s="5">
        <v>1</v>
      </c>
      <c r="G549" s="5">
        <v>234156</v>
      </c>
      <c r="H549" s="5">
        <v>3</v>
      </c>
      <c r="I549" s="5" t="s">
        <v>308</v>
      </c>
      <c r="J549" s="5">
        <v>562311</v>
      </c>
      <c r="K549" s="5" t="s">
        <v>1030</v>
      </c>
    </row>
    <row r="550">
      <c r="A550" s="0" t="s">
        <v>1031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1</v>
      </c>
      <c r="I550" s="5" t="s">
        <v>71</v>
      </c>
      <c r="J550" s="5">
        <v>0</v>
      </c>
      <c r="K550" s="5" t="s">
        <v>71</v>
      </c>
    </row>
    <row r="551">
      <c r="A551" s="0" t="s">
        <v>1032</v>
      </c>
      <c r="B551" s="5">
        <v>0</v>
      </c>
      <c r="C551" s="5">
        <v>0</v>
      </c>
      <c r="D551" s="5">
        <v>1</v>
      </c>
      <c r="E551" s="5">
        <v>234156</v>
      </c>
      <c r="F551" s="5">
        <v>1</v>
      </c>
      <c r="G551" s="5">
        <v>234156</v>
      </c>
      <c r="H551" s="5">
        <v>1</v>
      </c>
      <c r="I551" s="5" t="s">
        <v>110</v>
      </c>
      <c r="J551" s="5">
        <v>213103</v>
      </c>
      <c r="K551" s="5" t="s">
        <v>1033</v>
      </c>
    </row>
    <row r="552">
      <c r="A552" s="0" t="s">
        <v>1034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1</v>
      </c>
      <c r="I552" s="5" t="s">
        <v>71</v>
      </c>
      <c r="J552" s="5">
        <v>349208</v>
      </c>
      <c r="K552" s="5" t="s">
        <v>71</v>
      </c>
    </row>
    <row r="553">
      <c r="A553" s="0" t="s">
        <v>1035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 t="s">
        <v>71</v>
      </c>
      <c r="J553" s="5">
        <v>0</v>
      </c>
      <c r="K553" s="5" t="s">
        <v>71</v>
      </c>
    </row>
    <row r="554">
      <c r="A554" s="0" t="s">
        <v>1036</v>
      </c>
      <c r="B554" s="5">
        <v>0</v>
      </c>
      <c r="C554" s="5">
        <v>0</v>
      </c>
      <c r="D554" s="5">
        <v>2</v>
      </c>
      <c r="E554" s="5">
        <v>4600</v>
      </c>
      <c r="F554" s="5">
        <v>2</v>
      </c>
      <c r="G554" s="5">
        <v>4600</v>
      </c>
      <c r="H554" s="5">
        <v>2</v>
      </c>
      <c r="I554" s="5" t="s">
        <v>110</v>
      </c>
      <c r="J554" s="5">
        <v>0</v>
      </c>
      <c r="K554" s="5" t="s">
        <v>71</v>
      </c>
    </row>
    <row r="555">
      <c r="A555" s="0" t="s">
        <v>1037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1</v>
      </c>
      <c r="I555" s="5" t="s">
        <v>71</v>
      </c>
      <c r="J555" s="5">
        <v>0</v>
      </c>
      <c r="K555" s="5" t="s">
        <v>71</v>
      </c>
    </row>
    <row r="556">
      <c r="A556" s="0" t="s">
        <v>1038</v>
      </c>
      <c r="B556" s="5">
        <v>0</v>
      </c>
      <c r="C556" s="5">
        <v>0</v>
      </c>
      <c r="D556" s="5">
        <v>2</v>
      </c>
      <c r="E556" s="5">
        <v>4600</v>
      </c>
      <c r="F556" s="5">
        <v>2</v>
      </c>
      <c r="G556" s="5">
        <v>4600</v>
      </c>
      <c r="H556" s="5">
        <v>1</v>
      </c>
      <c r="I556" s="5" t="s">
        <v>458</v>
      </c>
      <c r="J556" s="5">
        <v>0</v>
      </c>
      <c r="K556" s="5" t="s">
        <v>71</v>
      </c>
    </row>
    <row r="557">
      <c r="A557" s="0" t="s">
        <v>1039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 t="s">
        <v>71</v>
      </c>
      <c r="J557" s="5">
        <v>0</v>
      </c>
      <c r="K557" s="5" t="s">
        <v>71</v>
      </c>
    </row>
    <row r="558">
      <c r="A558" s="0" t="s">
        <v>1040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3</v>
      </c>
      <c r="I558" s="5" t="s">
        <v>71</v>
      </c>
      <c r="J558" s="5">
        <v>0</v>
      </c>
      <c r="K558" s="5" t="s">
        <v>71</v>
      </c>
    </row>
    <row r="559">
      <c r="A559" s="0" t="s">
        <v>1041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1</v>
      </c>
      <c r="I559" s="5" t="s">
        <v>71</v>
      </c>
      <c r="J559" s="5">
        <v>0</v>
      </c>
      <c r="K559" s="5" t="s">
        <v>71</v>
      </c>
    </row>
    <row r="560">
      <c r="A560" s="0" t="s">
        <v>1042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1</v>
      </c>
      <c r="I560" s="5" t="s">
        <v>71</v>
      </c>
      <c r="J560" s="5">
        <v>0</v>
      </c>
      <c r="K560" s="5" t="s">
        <v>71</v>
      </c>
    </row>
    <row r="561">
      <c r="A561" s="0" t="s">
        <v>1043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1</v>
      </c>
      <c r="I561" s="5" t="s">
        <v>71</v>
      </c>
      <c r="J561" s="5">
        <v>0</v>
      </c>
      <c r="K561" s="5" t="s">
        <v>71</v>
      </c>
    </row>
    <row r="562">
      <c r="A562" s="0" t="s">
        <v>1044</v>
      </c>
      <c r="B562" s="5">
        <v>0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 t="s">
        <v>71</v>
      </c>
      <c r="J562" s="5">
        <v>0</v>
      </c>
      <c r="K562" s="5" t="s">
        <v>71</v>
      </c>
    </row>
    <row r="563">
      <c r="A563" s="0" t="s">
        <v>1045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3</v>
      </c>
      <c r="I563" s="5" t="s">
        <v>71</v>
      </c>
      <c r="J563" s="5">
        <v>33000</v>
      </c>
      <c r="K563" s="5" t="s">
        <v>71</v>
      </c>
    </row>
    <row r="564">
      <c r="A564" s="0" t="s">
        <v>1046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1</v>
      </c>
      <c r="I564" s="5" t="s">
        <v>71</v>
      </c>
      <c r="J564" s="5">
        <v>0</v>
      </c>
      <c r="K564" s="5" t="s">
        <v>71</v>
      </c>
    </row>
    <row r="565">
      <c r="A565" s="0" t="s">
        <v>1047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1</v>
      </c>
      <c r="I565" s="5" t="s">
        <v>71</v>
      </c>
      <c r="J565" s="5">
        <v>33000</v>
      </c>
      <c r="K565" s="5" t="s">
        <v>71</v>
      </c>
    </row>
    <row r="566">
      <c r="A566" s="0" t="s">
        <v>1048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1</v>
      </c>
      <c r="I566" s="5" t="s">
        <v>71</v>
      </c>
      <c r="J566" s="5">
        <v>0</v>
      </c>
      <c r="K566" s="5" t="s">
        <v>71</v>
      </c>
    </row>
    <row r="567">
      <c r="A567" s="0" t="s">
        <v>1049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 t="s">
        <v>71</v>
      </c>
      <c r="J567" s="5">
        <v>0</v>
      </c>
      <c r="K567" s="5" t="s">
        <v>71</v>
      </c>
    </row>
    <row r="568">
      <c r="A568" s="0" t="s">
        <v>1050</v>
      </c>
      <c r="B568" s="5">
        <v>0</v>
      </c>
      <c r="C568" s="5">
        <v>0</v>
      </c>
      <c r="D568" s="5">
        <v>64</v>
      </c>
      <c r="E568" s="5">
        <v>2240</v>
      </c>
      <c r="F568" s="5">
        <v>64</v>
      </c>
      <c r="G568" s="5">
        <v>2240</v>
      </c>
      <c r="H568" s="5">
        <v>3</v>
      </c>
      <c r="I568" s="5" t="s">
        <v>1051</v>
      </c>
      <c r="J568" s="5">
        <v>0</v>
      </c>
      <c r="K568" s="5" t="s">
        <v>71</v>
      </c>
    </row>
    <row r="569">
      <c r="A569" s="0" t="s">
        <v>1052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1</v>
      </c>
      <c r="I569" s="5" t="s">
        <v>71</v>
      </c>
      <c r="J569" s="5">
        <v>0</v>
      </c>
      <c r="K569" s="5" t="s">
        <v>71</v>
      </c>
    </row>
    <row r="570">
      <c r="A570" s="0" t="s">
        <v>1053</v>
      </c>
      <c r="B570" s="5">
        <v>0</v>
      </c>
      <c r="C570" s="5">
        <v>0</v>
      </c>
      <c r="D570" s="5">
        <v>64</v>
      </c>
      <c r="E570" s="5">
        <v>2240</v>
      </c>
      <c r="F570" s="5">
        <v>64</v>
      </c>
      <c r="G570" s="5">
        <v>2240</v>
      </c>
      <c r="H570" s="5">
        <v>1</v>
      </c>
      <c r="I570" s="5" t="s">
        <v>1054</v>
      </c>
      <c r="J570" s="5">
        <v>0</v>
      </c>
      <c r="K570" s="5" t="s">
        <v>71</v>
      </c>
    </row>
    <row r="571">
      <c r="A571" s="0" t="s">
        <v>1055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1</v>
      </c>
      <c r="I571" s="5" t="s">
        <v>71</v>
      </c>
      <c r="J571" s="5">
        <v>0</v>
      </c>
      <c r="K571" s="5" t="s">
        <v>71</v>
      </c>
    </row>
    <row r="572">
      <c r="A572" s="0" t="s">
        <v>1056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 t="s">
        <v>71</v>
      </c>
      <c r="J572" s="5">
        <v>0</v>
      </c>
      <c r="K572" s="5" t="s">
        <v>71</v>
      </c>
    </row>
    <row r="573">
      <c r="A573" s="0" t="s">
        <v>1057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1</v>
      </c>
      <c r="I573" s="5" t="s">
        <v>71</v>
      </c>
      <c r="J573" s="5">
        <v>0</v>
      </c>
      <c r="K573" s="5" t="s">
        <v>71</v>
      </c>
    </row>
    <row r="574">
      <c r="A574" s="0" t="s">
        <v>1058</v>
      </c>
      <c r="B574" s="5">
        <v>24750.000000000004</v>
      </c>
      <c r="C574" s="5">
        <v>24750.000000000004</v>
      </c>
      <c r="D574" s="5">
        <v>1</v>
      </c>
      <c r="E574" s="5">
        <v>140250</v>
      </c>
      <c r="F574" s="5">
        <v>24751</v>
      </c>
      <c r="G574" s="5">
        <v>165000</v>
      </c>
      <c r="H574" s="5">
        <v>2</v>
      </c>
      <c r="I574" s="5" t="s">
        <v>1059</v>
      </c>
      <c r="J574" s="5">
        <v>179300</v>
      </c>
      <c r="K574" s="5" t="s">
        <v>1060</v>
      </c>
    </row>
    <row r="575">
      <c r="A575" s="0" t="s">
        <v>1061</v>
      </c>
      <c r="B575" s="5">
        <v>24750.000000000004</v>
      </c>
      <c r="C575" s="5">
        <v>24750.000000000004</v>
      </c>
      <c r="D575" s="5">
        <v>1</v>
      </c>
      <c r="E575" s="5">
        <v>140250</v>
      </c>
      <c r="F575" s="5">
        <v>24751</v>
      </c>
      <c r="G575" s="5">
        <v>165000</v>
      </c>
      <c r="H575" s="5">
        <v>1</v>
      </c>
      <c r="I575" s="5" t="s">
        <v>1062</v>
      </c>
      <c r="J575" s="5">
        <v>0</v>
      </c>
      <c r="K575" s="5" t="s">
        <v>71</v>
      </c>
    </row>
    <row r="576">
      <c r="A576" s="0" t="s">
        <v>1063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1</v>
      </c>
      <c r="I576" s="5" t="s">
        <v>71</v>
      </c>
      <c r="J576" s="5">
        <v>179300</v>
      </c>
      <c r="K576" s="5" t="s">
        <v>71</v>
      </c>
    </row>
    <row r="577">
      <c r="A577" s="0" t="s">
        <v>1064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 t="s">
        <v>71</v>
      </c>
      <c r="J577" s="5">
        <v>0</v>
      </c>
      <c r="K577" s="5" t="s">
        <v>71</v>
      </c>
    </row>
    <row r="578">
      <c r="A578" s="0" t="s">
        <v>1065</v>
      </c>
      <c r="B578" s="5">
        <v>0</v>
      </c>
      <c r="C578" s="5">
        <v>0</v>
      </c>
      <c r="D578" s="5">
        <v>6314</v>
      </c>
      <c r="E578" s="5">
        <v>386308</v>
      </c>
      <c r="F578" s="5">
        <v>6314</v>
      </c>
      <c r="G578" s="5">
        <v>386308</v>
      </c>
      <c r="H578" s="5">
        <v>1</v>
      </c>
      <c r="I578" s="5" t="s">
        <v>1066</v>
      </c>
      <c r="J578" s="5">
        <v>296633</v>
      </c>
      <c r="K578" s="5" t="s">
        <v>1067</v>
      </c>
    </row>
    <row r="579">
      <c r="A579" s="0" t="s">
        <v>1068</v>
      </c>
      <c r="B579" s="5">
        <v>0</v>
      </c>
      <c r="C579" s="5">
        <v>0</v>
      </c>
      <c r="D579" s="5">
        <v>28</v>
      </c>
      <c r="E579" s="5">
        <v>3820</v>
      </c>
      <c r="F579" s="5">
        <v>28</v>
      </c>
      <c r="G579" s="5">
        <v>3820</v>
      </c>
      <c r="H579" s="5">
        <v>1</v>
      </c>
      <c r="I579" s="5" t="s">
        <v>1025</v>
      </c>
      <c r="J579" s="5">
        <v>0</v>
      </c>
      <c r="K579" s="5" t="s">
        <v>71</v>
      </c>
    </row>
    <row r="580">
      <c r="A580" s="0" t="s">
        <v>1069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1</v>
      </c>
      <c r="I580" s="5" t="s">
        <v>71</v>
      </c>
      <c r="J580" s="5">
        <v>0</v>
      </c>
      <c r="K580" s="5" t="s">
        <v>71</v>
      </c>
    </row>
    <row r="581">
      <c r="A581" s="0" t="s">
        <v>1070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1</v>
      </c>
      <c r="I581" s="5" t="s">
        <v>71</v>
      </c>
      <c r="J581" s="5">
        <v>0</v>
      </c>
      <c r="K581" s="5" t="s">
        <v>71</v>
      </c>
    </row>
    <row r="582">
      <c r="A582" s="0" t="s">
        <v>1071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1</v>
      </c>
      <c r="I582" s="5" t="s">
        <v>71</v>
      </c>
      <c r="J582" s="5">
        <v>0</v>
      </c>
      <c r="K582" s="5" t="s">
        <v>71</v>
      </c>
    </row>
    <row r="583">
      <c r="A583" s="0" t="s">
        <v>1072</v>
      </c>
      <c r="B583" s="5">
        <v>0</v>
      </c>
      <c r="C583" s="5">
        <v>0</v>
      </c>
      <c r="D583" s="5">
        <v>3001</v>
      </c>
      <c r="E583" s="5">
        <v>229500</v>
      </c>
      <c r="F583" s="5">
        <v>3001</v>
      </c>
      <c r="G583" s="5">
        <v>229500</v>
      </c>
      <c r="H583" s="5">
        <v>1</v>
      </c>
      <c r="I583" s="5" t="s">
        <v>1073</v>
      </c>
      <c r="J583" s="5">
        <v>2042045.0000000002</v>
      </c>
      <c r="K583" s="5" t="s">
        <v>1074</v>
      </c>
    </row>
    <row r="584">
      <c r="A584" s="0" t="s">
        <v>1075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1</v>
      </c>
      <c r="I584" s="5" t="s">
        <v>71</v>
      </c>
      <c r="J584" s="5">
        <v>0</v>
      </c>
      <c r="K584" s="5" t="s">
        <v>71</v>
      </c>
    </row>
    <row r="585">
      <c r="A585" s="0" t="s">
        <v>1076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1</v>
      </c>
      <c r="I585" s="5" t="s">
        <v>71</v>
      </c>
      <c r="J585" s="5">
        <v>0</v>
      </c>
      <c r="K585" s="5" t="s">
        <v>71</v>
      </c>
    </row>
    <row r="586">
      <c r="A586" s="0" t="s">
        <v>1077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1</v>
      </c>
      <c r="I586" s="5" t="s">
        <v>71</v>
      </c>
      <c r="J586" s="5">
        <v>0</v>
      </c>
      <c r="K586" s="5" t="s">
        <v>71</v>
      </c>
    </row>
    <row r="587">
      <c r="A587" s="0" t="s">
        <v>1078</v>
      </c>
      <c r="B587" s="5">
        <v>0</v>
      </c>
      <c r="C587" s="5">
        <v>0</v>
      </c>
      <c r="D587" s="5">
        <v>-7</v>
      </c>
      <c r="E587" s="5">
        <v>-200000.00000000003</v>
      </c>
      <c r="F587" s="5">
        <v>-7</v>
      </c>
      <c r="G587" s="5">
        <v>-200000.00000000003</v>
      </c>
      <c r="H587" s="5">
        <v>1</v>
      </c>
      <c r="I587" s="5" t="s">
        <v>1079</v>
      </c>
      <c r="J587" s="5">
        <v>0</v>
      </c>
      <c r="K587" s="5" t="s">
        <v>71</v>
      </c>
    </row>
    <row r="588">
      <c r="A588" s="0" t="s">
        <v>1080</v>
      </c>
      <c r="B588" s="5">
        <v>0</v>
      </c>
      <c r="C588" s="5">
        <v>0</v>
      </c>
      <c r="D588" s="5">
        <v>1</v>
      </c>
      <c r="E588" s="5">
        <v>10000</v>
      </c>
      <c r="F588" s="5">
        <v>1</v>
      </c>
      <c r="G588" s="5">
        <v>10000</v>
      </c>
      <c r="H588" s="5">
        <v>1</v>
      </c>
      <c r="I588" s="5" t="s">
        <v>110</v>
      </c>
      <c r="J588" s="5">
        <v>180000</v>
      </c>
      <c r="K588" s="5" t="s">
        <v>1081</v>
      </c>
    </row>
    <row r="589">
      <c r="A589" s="0" t="s">
        <v>1082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 t="s">
        <v>71</v>
      </c>
      <c r="J589" s="5">
        <v>0</v>
      </c>
      <c r="K589" s="5" t="s">
        <v>71</v>
      </c>
    </row>
    <row r="590">
      <c r="A590" s="0" t="s">
        <v>95</v>
      </c>
      <c r="B590" s="5">
        <v>4</v>
      </c>
      <c r="C590" s="5">
        <v>115503.53</v>
      </c>
      <c r="D590" s="5">
        <v>75</v>
      </c>
      <c r="E590" s="5">
        <v>1389286.86</v>
      </c>
      <c r="F590" s="5">
        <v>79</v>
      </c>
      <c r="G590" s="5">
        <v>1504790.3900000001</v>
      </c>
      <c r="H590" s="5">
        <v>14</v>
      </c>
      <c r="I590" s="5" t="s">
        <v>96</v>
      </c>
      <c r="J590" s="5">
        <v>11883713</v>
      </c>
      <c r="K590" s="5" t="s">
        <v>97</v>
      </c>
    </row>
    <row r="591">
      <c r="A591" s="0" t="s">
        <v>1083</v>
      </c>
      <c r="B591" s="5">
        <v>2</v>
      </c>
      <c r="C591" s="5">
        <v>114817.5</v>
      </c>
      <c r="D591" s="5">
        <v>11</v>
      </c>
      <c r="E591" s="5">
        <v>674666.94</v>
      </c>
      <c r="F591" s="5">
        <v>13</v>
      </c>
      <c r="G591" s="5">
        <v>789484.44</v>
      </c>
      <c r="H591" s="5">
        <v>5</v>
      </c>
      <c r="I591" s="5" t="s">
        <v>1084</v>
      </c>
      <c r="J591" s="5">
        <v>1577813.0000000002</v>
      </c>
      <c r="K591" s="5" t="s">
        <v>1085</v>
      </c>
    </row>
    <row r="592">
      <c r="A592" s="0" t="s">
        <v>1086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1</v>
      </c>
      <c r="I592" s="5" t="s">
        <v>71</v>
      </c>
      <c r="J592" s="5">
        <v>0</v>
      </c>
      <c r="K592" s="5" t="s">
        <v>71</v>
      </c>
    </row>
    <row r="593">
      <c r="A593" s="0" t="s">
        <v>1087</v>
      </c>
      <c r="B593" s="5">
        <v>1</v>
      </c>
      <c r="C593" s="5">
        <v>76545</v>
      </c>
      <c r="D593" s="5">
        <v>5</v>
      </c>
      <c r="E593" s="5">
        <v>442440</v>
      </c>
      <c r="F593" s="5">
        <v>6</v>
      </c>
      <c r="G593" s="5">
        <v>518984.99999999994</v>
      </c>
      <c r="H593" s="5">
        <v>1</v>
      </c>
      <c r="I593" s="5" t="s">
        <v>259</v>
      </c>
      <c r="J593" s="5">
        <v>556875</v>
      </c>
      <c r="K593" s="5" t="s">
        <v>1088</v>
      </c>
    </row>
    <row r="594">
      <c r="A594" s="0" t="s">
        <v>1089</v>
      </c>
      <c r="B594" s="5">
        <v>1</v>
      </c>
      <c r="C594" s="5">
        <v>38272.5</v>
      </c>
      <c r="D594" s="5">
        <v>5</v>
      </c>
      <c r="E594" s="5">
        <v>221220</v>
      </c>
      <c r="F594" s="5">
        <v>6</v>
      </c>
      <c r="G594" s="5">
        <v>259492.49999999997</v>
      </c>
      <c r="H594" s="5">
        <v>1</v>
      </c>
      <c r="I594" s="5" t="s">
        <v>259</v>
      </c>
      <c r="J594" s="5">
        <v>1020938</v>
      </c>
      <c r="K594" s="5" t="s">
        <v>1090</v>
      </c>
    </row>
    <row r="595">
      <c r="A595" s="0" t="s">
        <v>1091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1</v>
      </c>
      <c r="I595" s="5" t="s">
        <v>71</v>
      </c>
      <c r="J595" s="5">
        <v>0</v>
      </c>
      <c r="K595" s="5" t="s">
        <v>71</v>
      </c>
    </row>
    <row r="596">
      <c r="A596" s="0" t="s">
        <v>1092</v>
      </c>
      <c r="B596" s="5">
        <v>0</v>
      </c>
      <c r="C596" s="5">
        <v>0</v>
      </c>
      <c r="D596" s="5">
        <v>1</v>
      </c>
      <c r="E596" s="5">
        <v>11006.94</v>
      </c>
      <c r="F596" s="5">
        <v>1</v>
      </c>
      <c r="G596" s="5">
        <v>11006.94</v>
      </c>
      <c r="H596" s="5">
        <v>1</v>
      </c>
      <c r="I596" s="5" t="s">
        <v>110</v>
      </c>
      <c r="J596" s="5">
        <v>0</v>
      </c>
      <c r="K596" s="5" t="s">
        <v>71</v>
      </c>
    </row>
    <row r="597">
      <c r="A597" s="0" t="s">
        <v>1093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 t="s">
        <v>71</v>
      </c>
      <c r="J597" s="5">
        <v>0</v>
      </c>
      <c r="K597" s="5" t="s">
        <v>71</v>
      </c>
    </row>
    <row r="598">
      <c r="A598" s="0" t="s">
        <v>1094</v>
      </c>
      <c r="B598" s="5">
        <v>0</v>
      </c>
      <c r="C598" s="5">
        <v>0</v>
      </c>
      <c r="D598" s="5">
        <v>21</v>
      </c>
      <c r="E598" s="5">
        <v>297050</v>
      </c>
      <c r="F598" s="5">
        <v>21</v>
      </c>
      <c r="G598" s="5">
        <v>297050</v>
      </c>
      <c r="H598" s="5">
        <v>3</v>
      </c>
      <c r="I598" s="5" t="s">
        <v>158</v>
      </c>
      <c r="J598" s="5">
        <v>9207000</v>
      </c>
      <c r="K598" s="5" t="s">
        <v>1095</v>
      </c>
    </row>
    <row r="599">
      <c r="A599" s="0" t="s">
        <v>1096</v>
      </c>
      <c r="B599" s="5">
        <v>0</v>
      </c>
      <c r="C599" s="5">
        <v>0</v>
      </c>
      <c r="D599" s="5">
        <v>18</v>
      </c>
      <c r="E599" s="5">
        <v>0</v>
      </c>
      <c r="F599" s="5">
        <v>18</v>
      </c>
      <c r="G599" s="5">
        <v>0</v>
      </c>
      <c r="H599" s="5">
        <v>1</v>
      </c>
      <c r="I599" s="5" t="s">
        <v>772</v>
      </c>
      <c r="J599" s="5">
        <v>8910000</v>
      </c>
      <c r="K599" s="5" t="s">
        <v>71</v>
      </c>
    </row>
    <row r="600">
      <c r="A600" s="0" t="s">
        <v>1097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1</v>
      </c>
      <c r="I600" s="5" t="s">
        <v>71</v>
      </c>
      <c r="J600" s="5">
        <v>0</v>
      </c>
      <c r="K600" s="5" t="s">
        <v>71</v>
      </c>
    </row>
    <row r="601">
      <c r="A601" s="0" t="s">
        <v>1098</v>
      </c>
      <c r="B601" s="5">
        <v>0</v>
      </c>
      <c r="C601" s="5">
        <v>0</v>
      </c>
      <c r="D601" s="5">
        <v>3</v>
      </c>
      <c r="E601" s="5">
        <v>297050</v>
      </c>
      <c r="F601" s="5">
        <v>3</v>
      </c>
      <c r="G601" s="5">
        <v>297050</v>
      </c>
      <c r="H601" s="5">
        <v>1</v>
      </c>
      <c r="I601" s="5" t="s">
        <v>453</v>
      </c>
      <c r="J601" s="5">
        <v>297000</v>
      </c>
      <c r="K601" s="5" t="s">
        <v>1099</v>
      </c>
    </row>
    <row r="602">
      <c r="A602" s="0" t="s">
        <v>1100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 t="s">
        <v>71</v>
      </c>
      <c r="J602" s="5">
        <v>0</v>
      </c>
      <c r="K602" s="5" t="s">
        <v>71</v>
      </c>
    </row>
    <row r="603">
      <c r="A603" s="0" t="s">
        <v>1101</v>
      </c>
      <c r="B603" s="5">
        <v>1</v>
      </c>
      <c r="C603" s="5">
        <v>417.03</v>
      </c>
      <c r="D603" s="5">
        <v>15</v>
      </c>
      <c r="E603" s="5">
        <v>266723.92</v>
      </c>
      <c r="F603" s="5">
        <v>16</v>
      </c>
      <c r="G603" s="5">
        <v>267140.95</v>
      </c>
      <c r="H603" s="5">
        <v>2</v>
      </c>
      <c r="I603" s="5" t="s">
        <v>253</v>
      </c>
      <c r="J603" s="5">
        <v>0</v>
      </c>
      <c r="K603" s="5" t="s">
        <v>71</v>
      </c>
    </row>
    <row r="604">
      <c r="A604" s="0" t="s">
        <v>1102</v>
      </c>
      <c r="B604" s="5">
        <v>1</v>
      </c>
      <c r="C604" s="5">
        <v>417.03</v>
      </c>
      <c r="D604" s="5">
        <v>15</v>
      </c>
      <c r="E604" s="5">
        <v>266723.92</v>
      </c>
      <c r="F604" s="5">
        <v>16</v>
      </c>
      <c r="G604" s="5">
        <v>267140.95</v>
      </c>
      <c r="H604" s="5">
        <v>1</v>
      </c>
      <c r="I604" s="5" t="s">
        <v>653</v>
      </c>
      <c r="J604" s="5">
        <v>0</v>
      </c>
      <c r="K604" s="5" t="s">
        <v>71</v>
      </c>
    </row>
    <row r="605">
      <c r="A605" s="0" t="s">
        <v>1103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1</v>
      </c>
      <c r="I605" s="5" t="s">
        <v>71</v>
      </c>
      <c r="J605" s="5">
        <v>0</v>
      </c>
      <c r="K605" s="5" t="s">
        <v>71</v>
      </c>
    </row>
    <row r="606">
      <c r="A606" s="0" t="s">
        <v>1104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 t="s">
        <v>71</v>
      </c>
      <c r="J606" s="5">
        <v>0</v>
      </c>
      <c r="K606" s="5" t="s">
        <v>71</v>
      </c>
    </row>
    <row r="607">
      <c r="A607" s="0" t="s">
        <v>1105</v>
      </c>
      <c r="B607" s="5">
        <v>1</v>
      </c>
      <c r="C607" s="5">
        <v>269</v>
      </c>
      <c r="D607" s="5">
        <v>28</v>
      </c>
      <c r="E607" s="5">
        <v>150846</v>
      </c>
      <c r="F607" s="5">
        <v>29</v>
      </c>
      <c r="G607" s="5">
        <v>151115</v>
      </c>
      <c r="H607" s="5">
        <v>1</v>
      </c>
      <c r="I607" s="5" t="s">
        <v>690</v>
      </c>
      <c r="J607" s="5">
        <v>1098900</v>
      </c>
      <c r="K607" s="5" t="s">
        <v>1106</v>
      </c>
    </row>
    <row r="608">
      <c r="A608" s="0" t="s">
        <v>1107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1</v>
      </c>
      <c r="I608" s="5" t="s">
        <v>71</v>
      </c>
      <c r="J608" s="5">
        <v>0</v>
      </c>
      <c r="K608" s="5" t="s">
        <v>71</v>
      </c>
    </row>
    <row r="609">
      <c r="A609" s="0" t="s">
        <v>1108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1</v>
      </c>
      <c r="I609" s="5" t="s">
        <v>71</v>
      </c>
      <c r="J609" s="5">
        <v>0</v>
      </c>
      <c r="K609" s="5" t="s">
        <v>71</v>
      </c>
    </row>
    <row r="610">
      <c r="A610" s="0" t="s">
        <v>1109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1</v>
      </c>
      <c r="I610" s="5" t="s">
        <v>71</v>
      </c>
      <c r="J610" s="5">
        <v>0</v>
      </c>
      <c r="K610" s="5" t="s">
        <v>71</v>
      </c>
    </row>
    <row r="611">
      <c r="A611" s="0" t="s">
        <v>1110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 t="s">
        <v>71</v>
      </c>
      <c r="J611" s="5">
        <v>0</v>
      </c>
      <c r="K611" s="5" t="s">
        <v>71</v>
      </c>
    </row>
    <row r="612">
      <c r="A612" s="0" t="s">
        <v>98</v>
      </c>
      <c r="B612" s="5">
        <v>0</v>
      </c>
      <c r="C612" s="5">
        <v>0</v>
      </c>
      <c r="D612" s="5">
        <v>35</v>
      </c>
      <c r="E612" s="5">
        <v>37567540.92</v>
      </c>
      <c r="F612" s="5">
        <v>35</v>
      </c>
      <c r="G612" s="5">
        <v>37567540.92</v>
      </c>
      <c r="H612" s="5">
        <v>13</v>
      </c>
      <c r="I612" s="5" t="s">
        <v>99</v>
      </c>
      <c r="J612" s="5">
        <v>0</v>
      </c>
      <c r="K612" s="5" t="s">
        <v>71</v>
      </c>
    </row>
    <row r="613">
      <c r="A613" s="0" t="s">
        <v>1111</v>
      </c>
      <c r="B613" s="5">
        <v>0</v>
      </c>
      <c r="C613" s="5">
        <v>0</v>
      </c>
      <c r="D613" s="5">
        <v>11</v>
      </c>
      <c r="E613" s="5">
        <v>11143329.2</v>
      </c>
      <c r="F613" s="5">
        <v>11</v>
      </c>
      <c r="G613" s="5">
        <v>11143329.2</v>
      </c>
      <c r="H613" s="5">
        <v>3</v>
      </c>
      <c r="I613" s="5" t="s">
        <v>1112</v>
      </c>
      <c r="J613" s="5">
        <v>0</v>
      </c>
      <c r="K613" s="5" t="s">
        <v>71</v>
      </c>
    </row>
    <row r="614">
      <c r="A614" s="0" t="s">
        <v>1113</v>
      </c>
      <c r="B614" s="5">
        <v>0</v>
      </c>
      <c r="C614" s="5">
        <v>0</v>
      </c>
      <c r="D614" s="5">
        <v>11</v>
      </c>
      <c r="E614" s="5">
        <v>11143329.2</v>
      </c>
      <c r="F614" s="5">
        <v>11</v>
      </c>
      <c r="G614" s="5">
        <v>11143329.2</v>
      </c>
      <c r="H614" s="5">
        <v>1</v>
      </c>
      <c r="I614" s="5" t="s">
        <v>819</v>
      </c>
      <c r="J614" s="5">
        <v>0</v>
      </c>
      <c r="K614" s="5" t="s">
        <v>71</v>
      </c>
    </row>
    <row r="615">
      <c r="A615" s="0" t="s">
        <v>1114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1</v>
      </c>
      <c r="I615" s="5" t="s">
        <v>71</v>
      </c>
      <c r="J615" s="5">
        <v>0</v>
      </c>
      <c r="K615" s="5" t="s">
        <v>71</v>
      </c>
    </row>
    <row r="616">
      <c r="A616" s="0" t="s">
        <v>1115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1</v>
      </c>
      <c r="I616" s="5" t="s">
        <v>71</v>
      </c>
      <c r="J616" s="5">
        <v>0</v>
      </c>
      <c r="K616" s="5" t="s">
        <v>71</v>
      </c>
    </row>
    <row r="617">
      <c r="A617" s="0" t="s">
        <v>1116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 t="s">
        <v>71</v>
      </c>
      <c r="J617" s="5">
        <v>0</v>
      </c>
      <c r="K617" s="5" t="s">
        <v>71</v>
      </c>
    </row>
    <row r="618">
      <c r="A618" s="0" t="s">
        <v>1117</v>
      </c>
      <c r="B618" s="5">
        <v>0</v>
      </c>
      <c r="C618" s="5">
        <v>0</v>
      </c>
      <c r="D618" s="5">
        <v>11</v>
      </c>
      <c r="E618" s="5">
        <v>26224211.72</v>
      </c>
      <c r="F618" s="5">
        <v>11</v>
      </c>
      <c r="G618" s="5">
        <v>26224211.72</v>
      </c>
      <c r="H618" s="5">
        <v>1</v>
      </c>
      <c r="I618" s="5" t="s">
        <v>819</v>
      </c>
      <c r="J618" s="5">
        <v>0</v>
      </c>
      <c r="K618" s="5" t="s">
        <v>71</v>
      </c>
    </row>
    <row r="619">
      <c r="A619" s="0" t="s">
        <v>1118</v>
      </c>
      <c r="B619" s="5">
        <v>0</v>
      </c>
      <c r="C619" s="5">
        <v>0</v>
      </c>
      <c r="D619" s="5">
        <v>4</v>
      </c>
      <c r="E619" s="5">
        <v>0</v>
      </c>
      <c r="F619" s="5">
        <v>4</v>
      </c>
      <c r="G619" s="5">
        <v>0</v>
      </c>
      <c r="H619" s="5">
        <v>1</v>
      </c>
      <c r="I619" s="5" t="s">
        <v>164</v>
      </c>
      <c r="J619" s="5">
        <v>0</v>
      </c>
      <c r="K619" s="5" t="s">
        <v>71</v>
      </c>
    </row>
    <row r="620">
      <c r="A620" s="0" t="s">
        <v>1119</v>
      </c>
      <c r="B620" s="5">
        <v>0</v>
      </c>
      <c r="C620" s="5">
        <v>0</v>
      </c>
      <c r="D620" s="5">
        <v>9</v>
      </c>
      <c r="E620" s="5">
        <v>200000.00000000003</v>
      </c>
      <c r="F620" s="5">
        <v>9</v>
      </c>
      <c r="G620" s="5">
        <v>200000.00000000003</v>
      </c>
      <c r="H620" s="5">
        <v>1</v>
      </c>
      <c r="I620" s="5" t="s">
        <v>220</v>
      </c>
      <c r="J620" s="5">
        <v>0</v>
      </c>
      <c r="K620" s="5" t="s">
        <v>71</v>
      </c>
    </row>
    <row r="621">
      <c r="A621" s="0" t="s">
        <v>1120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1</v>
      </c>
      <c r="I621" s="5" t="s">
        <v>71</v>
      </c>
      <c r="J621" s="5">
        <v>0</v>
      </c>
      <c r="K621" s="5" t="s">
        <v>71</v>
      </c>
    </row>
    <row r="622">
      <c r="A622" s="0" t="s">
        <v>1121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3</v>
      </c>
      <c r="I622" s="5" t="s">
        <v>71</v>
      </c>
      <c r="J622" s="5">
        <v>0</v>
      </c>
      <c r="K622" s="5" t="s">
        <v>71</v>
      </c>
    </row>
    <row r="623">
      <c r="A623" s="0" t="s">
        <v>1122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1</v>
      </c>
      <c r="I623" s="5" t="s">
        <v>71</v>
      </c>
      <c r="J623" s="5">
        <v>0</v>
      </c>
      <c r="K623" s="5" t="s">
        <v>71</v>
      </c>
    </row>
    <row r="624">
      <c r="A624" s="0" t="s">
        <v>1123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1</v>
      </c>
      <c r="I624" s="5" t="s">
        <v>71</v>
      </c>
      <c r="J624" s="5">
        <v>0</v>
      </c>
      <c r="K624" s="5" t="s">
        <v>71</v>
      </c>
    </row>
    <row r="625">
      <c r="A625" s="0" t="s">
        <v>1124</v>
      </c>
      <c r="B625" s="5">
        <v>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1</v>
      </c>
      <c r="I625" s="5" t="s">
        <v>71</v>
      </c>
      <c r="J625" s="5">
        <v>0</v>
      </c>
      <c r="K625" s="5" t="s">
        <v>71</v>
      </c>
    </row>
    <row r="626">
      <c r="A626" s="0" t="s">
        <v>1125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 t="s">
        <v>71</v>
      </c>
      <c r="J626" s="5">
        <v>0</v>
      </c>
      <c r="K626" s="5" t="s">
        <v>71</v>
      </c>
    </row>
    <row r="627">
      <c r="A627" s="0" t="s">
        <v>1126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1</v>
      </c>
      <c r="I627" s="5" t="s">
        <v>71</v>
      </c>
      <c r="J627" s="5">
        <v>0</v>
      </c>
      <c r="K627" s="5" t="s">
        <v>71</v>
      </c>
    </row>
    <row r="628">
      <c r="A628" s="0" t="s">
        <v>1127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1</v>
      </c>
      <c r="I628" s="5" t="s">
        <v>71</v>
      </c>
      <c r="J628" s="5">
        <v>0</v>
      </c>
      <c r="K628" s="5" t="s">
        <v>71</v>
      </c>
    </row>
    <row r="629">
      <c r="A629" s="0" t="s">
        <v>1128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1</v>
      </c>
      <c r="I629" s="5" t="s">
        <v>71</v>
      </c>
      <c r="J629" s="5">
        <v>0</v>
      </c>
      <c r="K629" s="5" t="s">
        <v>71</v>
      </c>
    </row>
    <row r="630">
      <c r="A630" s="0" t="s">
        <v>1129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1</v>
      </c>
      <c r="I630" s="5" t="s">
        <v>71</v>
      </c>
      <c r="J630" s="5">
        <v>0</v>
      </c>
      <c r="K630" s="5" t="s">
        <v>71</v>
      </c>
    </row>
    <row r="631">
      <c r="A631" s="0" t="s">
        <v>1130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 t="s">
        <v>71</v>
      </c>
      <c r="J631" s="5">
        <v>0</v>
      </c>
      <c r="K631" s="5" t="s">
        <v>71</v>
      </c>
    </row>
    <row r="632">
      <c r="A632" s="0" t="s">
        <v>69</v>
      </c>
      <c r="B632" s="5">
        <v>0</v>
      </c>
      <c r="C632" s="5">
        <v>0</v>
      </c>
      <c r="D632" s="5">
        <v>-2</v>
      </c>
      <c r="E632" s="5">
        <v>-306335424.66</v>
      </c>
      <c r="F632" s="5">
        <v>-2</v>
      </c>
      <c r="G632" s="5">
        <v>-306335424.66</v>
      </c>
      <c r="H632" s="5">
        <v>49</v>
      </c>
      <c r="I632" s="5" t="s">
        <v>70</v>
      </c>
      <c r="J632" s="5">
        <v>0</v>
      </c>
      <c r="K632" s="5" t="s">
        <v>71</v>
      </c>
    </row>
    <row r="633">
      <c r="A633" s="0" t="s">
        <v>1131</v>
      </c>
      <c r="B633" s="5">
        <v>0</v>
      </c>
      <c r="C633" s="5">
        <v>0</v>
      </c>
      <c r="D633" s="5">
        <v>2</v>
      </c>
      <c r="E633" s="5">
        <v>-237600000</v>
      </c>
      <c r="F633" s="5">
        <v>2</v>
      </c>
      <c r="G633" s="5">
        <v>-237600000</v>
      </c>
      <c r="H633" s="5">
        <v>11</v>
      </c>
      <c r="I633" s="5" t="s">
        <v>1132</v>
      </c>
      <c r="J633" s="5">
        <v>0</v>
      </c>
      <c r="K633" s="5" t="s">
        <v>71</v>
      </c>
    </row>
    <row r="634">
      <c r="A634" s="0" t="s">
        <v>1133</v>
      </c>
      <c r="B634" s="5">
        <v>0</v>
      </c>
      <c r="C634" s="5">
        <v>0</v>
      </c>
      <c r="D634" s="5">
        <v>2</v>
      </c>
      <c r="E634" s="5">
        <v>-29700000</v>
      </c>
      <c r="F634" s="5">
        <v>2</v>
      </c>
      <c r="G634" s="5">
        <v>-29700000</v>
      </c>
      <c r="H634" s="5">
        <v>11</v>
      </c>
      <c r="I634" s="5" t="s">
        <v>1132</v>
      </c>
      <c r="J634" s="5">
        <v>0</v>
      </c>
      <c r="K634" s="5" t="s">
        <v>71</v>
      </c>
    </row>
    <row r="635">
      <c r="A635" s="0" t="s">
        <v>1134</v>
      </c>
      <c r="B635" s="5">
        <v>0</v>
      </c>
      <c r="C635" s="5">
        <v>0</v>
      </c>
      <c r="D635" s="5">
        <v>2</v>
      </c>
      <c r="E635" s="5">
        <v>-29700000</v>
      </c>
      <c r="F635" s="5">
        <v>2</v>
      </c>
      <c r="G635" s="5">
        <v>-29700000</v>
      </c>
      <c r="H635" s="5">
        <v>11</v>
      </c>
      <c r="I635" s="5" t="s">
        <v>1132</v>
      </c>
      <c r="J635" s="5">
        <v>0</v>
      </c>
      <c r="K635" s="5" t="s">
        <v>71</v>
      </c>
    </row>
    <row r="636">
      <c r="A636" s="0" t="s">
        <v>1135</v>
      </c>
      <c r="B636" s="5">
        <v>0</v>
      </c>
      <c r="C636" s="5">
        <v>0</v>
      </c>
      <c r="D636" s="5">
        <v>-2</v>
      </c>
      <c r="E636" s="5">
        <v>-8401882.19</v>
      </c>
      <c r="F636" s="5">
        <v>-2</v>
      </c>
      <c r="G636" s="5">
        <v>-8401882.19</v>
      </c>
      <c r="H636" s="5">
        <v>10</v>
      </c>
      <c r="I636" s="5" t="s">
        <v>73</v>
      </c>
      <c r="J636" s="5">
        <v>0</v>
      </c>
      <c r="K636" s="5" t="s">
        <v>71</v>
      </c>
    </row>
    <row r="637">
      <c r="A637" s="0" t="s">
        <v>1136</v>
      </c>
      <c r="B637" s="5">
        <v>0</v>
      </c>
      <c r="C637" s="5">
        <v>0</v>
      </c>
      <c r="D637" s="5">
        <v>-6</v>
      </c>
      <c r="E637" s="5">
        <v>-933542.47</v>
      </c>
      <c r="F637" s="5">
        <v>-6</v>
      </c>
      <c r="G637" s="5">
        <v>-933542.47</v>
      </c>
      <c r="H637" s="5">
        <v>6</v>
      </c>
      <c r="I637" s="5" t="s">
        <v>1137</v>
      </c>
      <c r="J637" s="5">
        <v>0</v>
      </c>
      <c r="K637" s="5" t="s">
        <v>71</v>
      </c>
    </row>
    <row r="638">
      <c r="A638" s="0" t="s">
        <v>1138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 t="s">
        <v>71</v>
      </c>
      <c r="J638" s="5">
        <v>0</v>
      </c>
      <c r="K638" s="5" t="s">
        <v>71</v>
      </c>
    </row>
    <row r="639">
      <c r="A639" s="0" t="s">
        <v>1139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 t="s">
        <v>71</v>
      </c>
      <c r="J639" s="5">
        <v>0</v>
      </c>
      <c r="K639" s="5" t="s">
        <v>71</v>
      </c>
    </row>
    <row r="640">
      <c r="A640" s="0" t="s">
        <v>72</v>
      </c>
      <c r="B640" s="5">
        <v>0</v>
      </c>
      <c r="C640" s="5">
        <v>0</v>
      </c>
      <c r="D640" s="5">
        <v>-1</v>
      </c>
      <c r="E640" s="5">
        <v>-211400.41999999998</v>
      </c>
      <c r="F640" s="5">
        <v>-1</v>
      </c>
      <c r="G640" s="5">
        <v>-211400.41999999998</v>
      </c>
      <c r="H640" s="5">
        <v>5</v>
      </c>
      <c r="I640" s="5" t="s">
        <v>73</v>
      </c>
      <c r="J640" s="5">
        <v>0</v>
      </c>
      <c r="K640" s="5" t="s">
        <v>71</v>
      </c>
    </row>
    <row r="641">
      <c r="A641" s="0" t="s">
        <v>1140</v>
      </c>
      <c r="B641" s="5">
        <v>0</v>
      </c>
      <c r="C641" s="5">
        <v>0</v>
      </c>
      <c r="D641" s="5">
        <v>-1</v>
      </c>
      <c r="E641" s="5">
        <v>-211400.41999999998</v>
      </c>
      <c r="F641" s="5">
        <v>-1</v>
      </c>
      <c r="G641" s="5">
        <v>-211400.41999999998</v>
      </c>
      <c r="H641" s="5">
        <v>5</v>
      </c>
      <c r="I641" s="5" t="s">
        <v>73</v>
      </c>
      <c r="J641" s="5">
        <v>0</v>
      </c>
      <c r="K641" s="5" t="s">
        <v>71</v>
      </c>
    </row>
    <row r="642">
      <c r="A642" s="0" t="s">
        <v>1141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 t="s">
        <v>71</v>
      </c>
      <c r="J642" s="5">
        <v>0</v>
      </c>
      <c r="K642" s="5" t="s">
        <v>71</v>
      </c>
    </row>
    <row r="643">
      <c r="A643" s="0" t="s">
        <v>1142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 t="s">
        <v>71</v>
      </c>
      <c r="J643" s="5">
        <v>0</v>
      </c>
      <c r="K643" s="5" t="s">
        <v>71</v>
      </c>
    </row>
    <row r="644">
      <c r="A644" s="0" t="s">
        <v>1143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 t="s">
        <v>71</v>
      </c>
      <c r="J644" s="5">
        <v>0</v>
      </c>
      <c r="K644" s="5" t="s">
        <v>71</v>
      </c>
    </row>
  </sheetData>
  <mergeCells>
    <mergeCell ref="A1:K1"/>
  </mergeCells>
  <conditionalFormatting sqref="A1:AZ10000">
    <cfRule priority="1" type="cellIs" operator="lessThan" dxfId="0">
      <formula>0</formula>
    </cfRule>
  </conditionalFormatting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Salary Report</dc:title>
  <dc:creator>Vahid N.</dc:creator>
  <dc:subject>Salary Report</dc:subject>
  <cp:keywords>Salary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